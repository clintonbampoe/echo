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autoCompressPictures="0" defaultThemeVersion="124226"/>
  <bookViews>
    <workbookView xWindow="0" yWindow="0" windowWidth="20496" windowHeight="7056" tabRatio="925" activeTab="1"/>
  </bookViews>
  <sheets>
    <sheet name="Front" sheetId="10" r:id="rId1"/>
    <sheet name="Rec &amp; Pmt" sheetId="9" r:id="rId2"/>
    <sheet name="TB" sheetId="24" state="hidden" r:id="rId3"/>
    <sheet name="RECEIPTS AND PAYMENT ANANLYSIS" sheetId="2" r:id="rId4"/>
    <sheet name="weekly income statement" sheetId="6" r:id="rId5"/>
    <sheet name="Expend" sheetId="11" r:id="rId6"/>
    <sheet name="MEMBERS DUES ANALYSIS 17" sheetId="12" state="hidden" r:id="rId7"/>
    <sheet name="TITHE" sheetId="13" r:id="rId8"/>
    <sheet name="CASH BOOK" sheetId="14" r:id="rId9"/>
    <sheet name="ASSETS" sheetId="18" r:id="rId10"/>
    <sheet name="RETURNS FOR CIRCUIT" sheetId="30" r:id="rId11"/>
    <sheet name="Stage" sheetId="21" state="hidden" r:id="rId12"/>
    <sheet name="Sheet2" sheetId="29" r:id="rId13"/>
    <sheet name="EXP DETAILS" sheetId="15" state="hidden" r:id="rId14"/>
  </sheets>
  <definedNames>
    <definedName name="_xlnm.Print_Area" localSheetId="8">'CASH BOOK'!$A$1:$M$26</definedName>
    <definedName name="_xlnm.Print_Area" localSheetId="0">Front!$B$1:$B$38</definedName>
    <definedName name="_xlnm.Print_Area" localSheetId="1">'Rec &amp; Pmt'!$A$1:$C$97</definedName>
    <definedName name="_xlnm.Print_Area" localSheetId="3">'RECEIPTS AND PAYMENT ANANLYSIS'!$A$1:$N$68</definedName>
    <definedName name="_xlnm.Print_Area" localSheetId="10">'RETURNS FOR CIRCUIT'!$A$1:$I$261</definedName>
  </definedNames>
  <calcPr calcId="162913"/>
  <fileRecoveryPr autoRecover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69" i="9" l="1"/>
  <c r="I64" i="9"/>
  <c r="I40" i="9"/>
  <c r="I37" i="9"/>
  <c r="I33" i="9"/>
  <c r="I71" i="9"/>
  <c r="I38" i="9"/>
  <c r="I39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5" i="9"/>
  <c r="I66" i="9"/>
  <c r="I67" i="9"/>
  <c r="I68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16" i="9"/>
  <c r="C23" i="6"/>
  <c r="N50" i="11"/>
  <c r="N49" i="11"/>
  <c r="N51" i="6"/>
  <c r="N14" i="6"/>
  <c r="E21" i="14" l="1"/>
  <c r="N93" i="11"/>
  <c r="J96" i="9" l="1"/>
  <c r="AA70" i="13"/>
  <c r="N13" i="6"/>
  <c r="N12" i="6" l="1"/>
  <c r="U76" i="13" l="1"/>
  <c r="L21" i="14"/>
  <c r="N49" i="6"/>
  <c r="N11" i="6"/>
  <c r="N47" i="6" l="1"/>
  <c r="N55" i="11"/>
  <c r="M59" i="2" s="1"/>
  <c r="C59" i="2"/>
  <c r="D59" i="2"/>
  <c r="E59" i="2"/>
  <c r="F59" i="2"/>
  <c r="G59" i="2"/>
  <c r="H59" i="2"/>
  <c r="I59" i="2"/>
  <c r="J59" i="2"/>
  <c r="K59" i="2"/>
  <c r="L59" i="2"/>
  <c r="B59" i="2"/>
  <c r="C58" i="2"/>
  <c r="D58" i="2"/>
  <c r="E58" i="2"/>
  <c r="F58" i="2"/>
  <c r="G58" i="2"/>
  <c r="H58" i="2"/>
  <c r="I58" i="2"/>
  <c r="J58" i="2"/>
  <c r="K58" i="2"/>
  <c r="L58" i="2"/>
  <c r="M58" i="2"/>
  <c r="B58" i="2"/>
  <c r="N46" i="6" l="1"/>
  <c r="V76" i="13"/>
  <c r="AA72" i="13"/>
  <c r="AA73" i="13"/>
  <c r="AA74" i="13"/>
  <c r="M13" i="6" l="1"/>
  <c r="F76" i="13" l="1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W76" i="13"/>
  <c r="X76" i="13"/>
  <c r="Y76" i="13"/>
  <c r="Z76" i="13"/>
  <c r="E76" i="13"/>
  <c r="AA69" i="13"/>
  <c r="AA71" i="13"/>
  <c r="AA75" i="13"/>
  <c r="M12" i="6"/>
  <c r="D238" i="30" l="1"/>
  <c r="D236" i="30"/>
  <c r="D218" i="30"/>
  <c r="D216" i="30"/>
  <c r="F216" i="30" s="1"/>
  <c r="D198" i="30"/>
  <c r="D196" i="30"/>
  <c r="D178" i="30"/>
  <c r="D176" i="30"/>
  <c r="G176" i="30" s="1"/>
  <c r="D158" i="30"/>
  <c r="D156" i="30"/>
  <c r="D138" i="30"/>
  <c r="D136" i="30"/>
  <c r="D117" i="30"/>
  <c r="D115" i="30"/>
  <c r="D97" i="30"/>
  <c r="F97" i="30" s="1"/>
  <c r="D95" i="30"/>
  <c r="D76" i="30"/>
  <c r="D74" i="30"/>
  <c r="I74" i="30" s="1"/>
  <c r="D56" i="30"/>
  <c r="D54" i="30"/>
  <c r="D34" i="30"/>
  <c r="D36" i="30"/>
  <c r="I36" i="30" s="1"/>
  <c r="H236" i="30"/>
  <c r="H198" i="30"/>
  <c r="H158" i="30"/>
  <c r="H136" i="30"/>
  <c r="H117" i="30"/>
  <c r="H14" i="30"/>
  <c r="H16" i="30"/>
  <c r="D14" i="30"/>
  <c r="E14" i="30" s="1"/>
  <c r="D16" i="30"/>
  <c r="E16" i="30" s="1"/>
  <c r="C255" i="30"/>
  <c r="C256" i="30"/>
  <c r="C257" i="30"/>
  <c r="C258" i="30"/>
  <c r="C259" i="30"/>
  <c r="B256" i="30"/>
  <c r="B258" i="30"/>
  <c r="I238" i="30"/>
  <c r="G238" i="30"/>
  <c r="F238" i="30"/>
  <c r="H238" i="30" s="1"/>
  <c r="E238" i="30"/>
  <c r="I236" i="30"/>
  <c r="G236" i="30"/>
  <c r="F236" i="30"/>
  <c r="E236" i="30"/>
  <c r="I218" i="30"/>
  <c r="G218" i="30"/>
  <c r="F218" i="30"/>
  <c r="E218" i="30"/>
  <c r="H218" i="30" s="1"/>
  <c r="I216" i="30"/>
  <c r="G216" i="30"/>
  <c r="I198" i="30"/>
  <c r="G198" i="30"/>
  <c r="F198" i="30"/>
  <c r="E198" i="30"/>
  <c r="I196" i="30"/>
  <c r="G196" i="30"/>
  <c r="F196" i="30"/>
  <c r="E196" i="30"/>
  <c r="H196" i="30" s="1"/>
  <c r="I178" i="30"/>
  <c r="G178" i="30"/>
  <c r="F178" i="30"/>
  <c r="E178" i="30"/>
  <c r="H178" i="30" s="1"/>
  <c r="I176" i="30"/>
  <c r="I158" i="30"/>
  <c r="G158" i="30"/>
  <c r="F158" i="30"/>
  <c r="E158" i="30"/>
  <c r="I156" i="30"/>
  <c r="G156" i="30"/>
  <c r="F156" i="30"/>
  <c r="E156" i="30"/>
  <c r="H156" i="30" s="1"/>
  <c r="I138" i="30"/>
  <c r="G138" i="30"/>
  <c r="F138" i="30"/>
  <c r="E138" i="30"/>
  <c r="H138" i="30" s="1"/>
  <c r="I136" i="30"/>
  <c r="G136" i="30"/>
  <c r="F136" i="30"/>
  <c r="E136" i="30"/>
  <c r="I117" i="30"/>
  <c r="G117" i="30"/>
  <c r="F117" i="30"/>
  <c r="E117" i="30"/>
  <c r="I115" i="30"/>
  <c r="G115" i="30"/>
  <c r="F115" i="30"/>
  <c r="E115" i="30"/>
  <c r="H115" i="30" s="1"/>
  <c r="I97" i="30"/>
  <c r="G97" i="30"/>
  <c r="I95" i="30"/>
  <c r="G95" i="30"/>
  <c r="F95" i="30"/>
  <c r="E95" i="30"/>
  <c r="H95" i="30" s="1"/>
  <c r="I76" i="30"/>
  <c r="G76" i="30"/>
  <c r="F76" i="30"/>
  <c r="E76" i="30"/>
  <c r="H76" i="30" s="1"/>
  <c r="E74" i="30"/>
  <c r="I56" i="30"/>
  <c r="G56" i="30"/>
  <c r="F56" i="30"/>
  <c r="H56" i="30" s="1"/>
  <c r="E56" i="30"/>
  <c r="I54" i="30"/>
  <c r="G54" i="30"/>
  <c r="F54" i="30"/>
  <c r="E54" i="30"/>
  <c r="H54" i="30" s="1"/>
  <c r="F36" i="30"/>
  <c r="E36" i="30"/>
  <c r="I34" i="30"/>
  <c r="G34" i="30"/>
  <c r="F34" i="30"/>
  <c r="E34" i="30"/>
  <c r="H34" i="30" s="1"/>
  <c r="F14" i="30"/>
  <c r="G14" i="30"/>
  <c r="I14" i="30"/>
  <c r="F16" i="30"/>
  <c r="G16" i="30"/>
  <c r="I16" i="30"/>
  <c r="M11" i="6"/>
  <c r="M24" i="11"/>
  <c r="E216" i="30" l="1"/>
  <c r="H216" i="30" s="1"/>
  <c r="F176" i="30"/>
  <c r="E176" i="30"/>
  <c r="H176" i="30" s="1"/>
  <c r="D256" i="30"/>
  <c r="G256" i="30" s="1"/>
  <c r="D258" i="30"/>
  <c r="E97" i="30"/>
  <c r="H97" i="30" s="1"/>
  <c r="F74" i="30"/>
  <c r="G74" i="30"/>
  <c r="G36" i="30"/>
  <c r="H36" i="30" s="1"/>
  <c r="A42" i="2"/>
  <c r="B42" i="2"/>
  <c r="C42" i="2"/>
  <c r="D42" i="2"/>
  <c r="E42" i="2"/>
  <c r="F42" i="2"/>
  <c r="G42" i="2"/>
  <c r="I42" i="2"/>
  <c r="J42" i="2"/>
  <c r="K42" i="2"/>
  <c r="L42" i="2"/>
  <c r="M42" i="2"/>
  <c r="H42" i="2"/>
  <c r="M35" i="11"/>
  <c r="M34" i="11"/>
  <c r="C56" i="2"/>
  <c r="D56" i="2"/>
  <c r="E56" i="2"/>
  <c r="F56" i="2"/>
  <c r="G56" i="2"/>
  <c r="H56" i="2"/>
  <c r="I56" i="2"/>
  <c r="J56" i="2"/>
  <c r="K56" i="2"/>
  <c r="L56" i="2"/>
  <c r="M56" i="2"/>
  <c r="C57" i="2"/>
  <c r="D57" i="2"/>
  <c r="E57" i="2"/>
  <c r="F57" i="2"/>
  <c r="G57" i="2"/>
  <c r="H57" i="2"/>
  <c r="I57" i="2"/>
  <c r="J57" i="2"/>
  <c r="K57" i="2"/>
  <c r="L57" i="2"/>
  <c r="M57" i="2"/>
  <c r="B57" i="2"/>
  <c r="B56" i="2"/>
  <c r="M10" i="6"/>
  <c r="L13" i="6"/>
  <c r="L56" i="6"/>
  <c r="L12" i="6"/>
  <c r="N57" i="2" l="1"/>
  <c r="B62" i="9" s="1"/>
  <c r="N56" i="2"/>
  <c r="B61" i="9" s="1"/>
  <c r="I256" i="30"/>
  <c r="F256" i="30"/>
  <c r="E256" i="30"/>
  <c r="I258" i="30"/>
  <c r="F258" i="30"/>
  <c r="E258" i="30"/>
  <c r="G258" i="30"/>
  <c r="H74" i="30"/>
  <c r="H256" i="30"/>
  <c r="L80" i="11"/>
  <c r="H258" i="30" l="1"/>
  <c r="L19" i="14"/>
  <c r="L11" i="6"/>
  <c r="L10" i="6" l="1"/>
  <c r="K14" i="6" l="1"/>
  <c r="K39" i="11" l="1"/>
  <c r="AA67" i="13"/>
  <c r="AA68" i="13"/>
  <c r="AA29" i="13"/>
  <c r="AA12" i="13"/>
  <c r="AA10" i="13"/>
  <c r="AA11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76" i="13" l="1"/>
  <c r="O87" i="11"/>
  <c r="K47" i="6"/>
  <c r="K11" i="6"/>
  <c r="K93" i="11" l="1"/>
  <c r="K46" i="6" l="1"/>
  <c r="K10" i="6"/>
  <c r="J24" i="11" l="1"/>
  <c r="J55" i="6"/>
  <c r="J13" i="6"/>
  <c r="J12" i="6"/>
  <c r="C15" i="29" l="1"/>
  <c r="L17" i="14" l="1"/>
  <c r="I55" i="6" l="1"/>
  <c r="I13" i="6"/>
  <c r="M13" i="14" l="1"/>
  <c r="E16" i="14"/>
  <c r="Y78" i="9"/>
  <c r="Y77" i="9"/>
  <c r="Y76" i="9"/>
  <c r="I93" i="11"/>
  <c r="I41" i="11"/>
  <c r="I11" i="6"/>
  <c r="H14" i="6" l="1"/>
  <c r="H13" i="6"/>
  <c r="H12" i="6"/>
  <c r="AA9" i="13"/>
  <c r="L15" i="14"/>
  <c r="M15" i="14" s="1"/>
  <c r="H11" i="6" l="1"/>
  <c r="H84" i="11" l="1"/>
  <c r="E15" i="14" l="1"/>
  <c r="H93" i="11"/>
  <c r="H10" i="6" l="1"/>
  <c r="G13" i="6" l="1"/>
  <c r="G54" i="6"/>
  <c r="G12" i="6"/>
  <c r="G46" i="6" l="1"/>
  <c r="G35" i="11"/>
  <c r="J12" i="15"/>
  <c r="L8" i="15"/>
  <c r="C15" i="2"/>
  <c r="D15" i="2"/>
  <c r="E15" i="2"/>
  <c r="F15" i="2"/>
  <c r="G15" i="2"/>
  <c r="H15" i="2"/>
  <c r="I15" i="2"/>
  <c r="J15" i="2"/>
  <c r="K15" i="2"/>
  <c r="L15" i="2"/>
  <c r="M15" i="2"/>
  <c r="B15" i="2"/>
  <c r="O56" i="6"/>
  <c r="G11" i="6"/>
  <c r="N15" i="2" l="1"/>
  <c r="B23" i="9" s="1"/>
  <c r="F13" i="6" l="1"/>
  <c r="L13" i="14"/>
  <c r="F84" i="11"/>
  <c r="F12" i="6" l="1"/>
  <c r="M12" i="14" l="1"/>
  <c r="F93" i="11"/>
  <c r="F47" i="6" l="1"/>
  <c r="F10" i="6" l="1"/>
  <c r="L12" i="14"/>
  <c r="E84" i="11"/>
  <c r="M23" i="13" l="1"/>
  <c r="E22" i="6"/>
  <c r="E50" i="6"/>
  <c r="E14" i="6"/>
  <c r="E13" i="6"/>
  <c r="E12" i="6"/>
  <c r="E49" i="6" l="1"/>
  <c r="E41" i="11" l="1"/>
  <c r="L11" i="14" l="1"/>
  <c r="E12" i="14"/>
  <c r="E93" i="11"/>
  <c r="E11" i="6"/>
  <c r="E47" i="6" l="1"/>
  <c r="O41" i="11" l="1"/>
  <c r="E46" i="6" l="1"/>
  <c r="E10" i="6"/>
  <c r="E11" i="14" l="1"/>
  <c r="D93" i="11"/>
  <c r="D21" i="6"/>
  <c r="D14" i="6" l="1"/>
  <c r="D48" i="6" l="1"/>
  <c r="D96" i="11" l="1"/>
  <c r="E96" i="11"/>
  <c r="F96" i="11"/>
  <c r="G96" i="11"/>
  <c r="H96" i="11"/>
  <c r="I96" i="11"/>
  <c r="J96" i="11"/>
  <c r="K96" i="11"/>
  <c r="L96" i="11"/>
  <c r="M96" i="11"/>
  <c r="N96" i="11"/>
  <c r="D11" i="6"/>
  <c r="D10" i="6"/>
  <c r="D12" i="11"/>
  <c r="E10" i="14" l="1"/>
  <c r="C93" i="11"/>
  <c r="L10" i="14"/>
  <c r="C12" i="6"/>
  <c r="C11" i="6"/>
  <c r="F9" i="14" l="1"/>
  <c r="D9" i="14"/>
  <c r="E9" i="14"/>
  <c r="D78" i="9"/>
  <c r="E78" i="9"/>
  <c r="F78" i="9"/>
  <c r="G78" i="9"/>
  <c r="H78" i="9"/>
  <c r="G33" i="9" l="1"/>
  <c r="G69" i="9"/>
  <c r="G71" i="9" l="1"/>
  <c r="H69" i="9"/>
  <c r="H33" i="9"/>
  <c r="H71" i="9" l="1"/>
  <c r="L44" i="14"/>
  <c r="O39" i="11"/>
  <c r="N23" i="6"/>
  <c r="M9" i="2" s="1"/>
  <c r="B234" i="30" s="1"/>
  <c r="N15" i="6"/>
  <c r="M8" i="2" s="1"/>
  <c r="B235" i="30" s="1"/>
  <c r="D235" i="30" s="1"/>
  <c r="N44" i="6"/>
  <c r="M11" i="2" s="1"/>
  <c r="B237" i="30" s="1"/>
  <c r="D237" i="30" s="1"/>
  <c r="N52" i="6"/>
  <c r="M12" i="2" s="1"/>
  <c r="M23" i="2"/>
  <c r="M29" i="14"/>
  <c r="M31" i="14"/>
  <c r="M32" i="14"/>
  <c r="M28" i="14"/>
  <c r="M36" i="14" s="1"/>
  <c r="M38" i="14" s="1"/>
  <c r="M39" i="14" s="1"/>
  <c r="M33" i="14"/>
  <c r="M37" i="14"/>
  <c r="M34" i="14"/>
  <c r="L44" i="6"/>
  <c r="K11" i="2" s="1"/>
  <c r="B197" i="30" s="1"/>
  <c r="D197" i="30" s="1"/>
  <c r="M44" i="6"/>
  <c r="L15" i="11"/>
  <c r="L44" i="11"/>
  <c r="L90" i="11"/>
  <c r="M15" i="11"/>
  <c r="L30" i="2" s="1"/>
  <c r="M44" i="11"/>
  <c r="M90" i="11"/>
  <c r="N15" i="11"/>
  <c r="N44" i="11"/>
  <c r="N22" i="11"/>
  <c r="N29" i="11"/>
  <c r="M32" i="2" s="1"/>
  <c r="N90" i="11"/>
  <c r="L15" i="6"/>
  <c r="L52" i="6"/>
  <c r="L36" i="6"/>
  <c r="K10" i="2" s="1"/>
  <c r="C194" i="30" s="1"/>
  <c r="C200" i="30" s="1"/>
  <c r="L23" i="6"/>
  <c r="M15" i="6"/>
  <c r="L8" i="2" s="1"/>
  <c r="B215" i="30" s="1"/>
  <c r="M36" i="6"/>
  <c r="L10" i="2" s="1"/>
  <c r="C214" i="30" s="1"/>
  <c r="M23" i="6"/>
  <c r="L9" i="2" s="1"/>
  <c r="B214" i="30" s="1"/>
  <c r="M52" i="6"/>
  <c r="L12" i="2" s="1"/>
  <c r="N36" i="6"/>
  <c r="M10" i="2" s="1"/>
  <c r="C234" i="30" s="1"/>
  <c r="C240" i="30" s="1"/>
  <c r="N67" i="6"/>
  <c r="E25" i="14"/>
  <c r="S16" i="2"/>
  <c r="J6" i="24"/>
  <c r="K6" i="24"/>
  <c r="K55" i="24"/>
  <c r="J55" i="24"/>
  <c r="J31" i="24"/>
  <c r="K31" i="24"/>
  <c r="J32" i="24"/>
  <c r="K32" i="24"/>
  <c r="J33" i="24"/>
  <c r="K33" i="24"/>
  <c r="J34" i="24"/>
  <c r="K34" i="24"/>
  <c r="J35" i="24"/>
  <c r="K35" i="24"/>
  <c r="J36" i="24"/>
  <c r="K36" i="24"/>
  <c r="J37" i="24"/>
  <c r="K37" i="24"/>
  <c r="J38" i="24"/>
  <c r="K38" i="24"/>
  <c r="J39" i="24"/>
  <c r="K39" i="24"/>
  <c r="J40" i="24"/>
  <c r="K40" i="24"/>
  <c r="J41" i="24"/>
  <c r="K41" i="24"/>
  <c r="J42" i="24"/>
  <c r="K42" i="24"/>
  <c r="J43" i="24"/>
  <c r="K43" i="24"/>
  <c r="J44" i="24"/>
  <c r="K44" i="24"/>
  <c r="J45" i="24"/>
  <c r="K45" i="24"/>
  <c r="J46" i="24"/>
  <c r="K46" i="24"/>
  <c r="J47" i="24"/>
  <c r="K47" i="24"/>
  <c r="J48" i="24"/>
  <c r="K48" i="24"/>
  <c r="J49" i="24"/>
  <c r="K49" i="24"/>
  <c r="J50" i="24"/>
  <c r="K50" i="24"/>
  <c r="J51" i="24"/>
  <c r="K51" i="24"/>
  <c r="J52" i="24"/>
  <c r="K52" i="24"/>
  <c r="J53" i="24"/>
  <c r="K53" i="24"/>
  <c r="J54" i="24"/>
  <c r="K54" i="24"/>
  <c r="J8" i="24"/>
  <c r="K8" i="24"/>
  <c r="J9" i="24"/>
  <c r="K9" i="24"/>
  <c r="J10" i="24"/>
  <c r="K10" i="24"/>
  <c r="J11" i="24"/>
  <c r="K11" i="24"/>
  <c r="J12" i="24"/>
  <c r="K12" i="24"/>
  <c r="J13" i="24"/>
  <c r="K13" i="24"/>
  <c r="J14" i="24"/>
  <c r="K14" i="24"/>
  <c r="J15" i="24"/>
  <c r="K15" i="24"/>
  <c r="J16" i="24"/>
  <c r="K16" i="24"/>
  <c r="J17" i="24"/>
  <c r="K17" i="24"/>
  <c r="J18" i="24"/>
  <c r="K18" i="24"/>
  <c r="J19" i="24"/>
  <c r="K19" i="24"/>
  <c r="J20" i="24"/>
  <c r="K20" i="24"/>
  <c r="J21" i="24"/>
  <c r="K21" i="24"/>
  <c r="J22" i="24"/>
  <c r="K22" i="24"/>
  <c r="J23" i="24"/>
  <c r="K23" i="24"/>
  <c r="J24" i="24"/>
  <c r="K24" i="24"/>
  <c r="J25" i="24"/>
  <c r="K25" i="24"/>
  <c r="J26" i="24"/>
  <c r="K26" i="24"/>
  <c r="J27" i="24"/>
  <c r="K27" i="24"/>
  <c r="J28" i="24"/>
  <c r="K28" i="24"/>
  <c r="J29" i="24"/>
  <c r="K29" i="24"/>
  <c r="J30" i="24"/>
  <c r="K30" i="24"/>
  <c r="K7" i="24"/>
  <c r="J7" i="24"/>
  <c r="I36" i="6"/>
  <c r="K47" i="2"/>
  <c r="L47" i="2"/>
  <c r="H10" i="2"/>
  <c r="C134" i="30" s="1"/>
  <c r="C140" i="30" s="1"/>
  <c r="K9" i="2"/>
  <c r="B194" i="30" s="1"/>
  <c r="K12" i="2"/>
  <c r="L11" i="2"/>
  <c r="B217" i="30" s="1"/>
  <c r="K30" i="2"/>
  <c r="L40" i="2"/>
  <c r="M31" i="2"/>
  <c r="K36" i="6"/>
  <c r="J36" i="6"/>
  <c r="L16" i="14"/>
  <c r="J5" i="21"/>
  <c r="J23" i="21"/>
  <c r="J12" i="21"/>
  <c r="J17" i="21"/>
  <c r="J6" i="21"/>
  <c r="J7" i="21"/>
  <c r="J8" i="21"/>
  <c r="J9" i="21"/>
  <c r="J10" i="21"/>
  <c r="J11" i="21"/>
  <c r="J13" i="21"/>
  <c r="J19" i="21"/>
  <c r="J25" i="21"/>
  <c r="L19" i="21"/>
  <c r="D16" i="21"/>
  <c r="C6" i="21"/>
  <c r="C8" i="21"/>
  <c r="D15" i="21"/>
  <c r="D18" i="21"/>
  <c r="D20" i="21"/>
  <c r="F52" i="11"/>
  <c r="G52" i="11"/>
  <c r="H52" i="11"/>
  <c r="I52" i="11"/>
  <c r="J52" i="11"/>
  <c r="K52" i="11"/>
  <c r="L52" i="11"/>
  <c r="M52" i="11"/>
  <c r="N52" i="11"/>
  <c r="C52" i="11"/>
  <c r="D52" i="11"/>
  <c r="C96" i="11"/>
  <c r="C15" i="11"/>
  <c r="C76" i="13"/>
  <c r="D76" i="13"/>
  <c r="H15" i="11"/>
  <c r="G30" i="2" s="1"/>
  <c r="C54" i="2"/>
  <c r="D54" i="2"/>
  <c r="E54" i="2"/>
  <c r="F54" i="2"/>
  <c r="G54" i="2"/>
  <c r="H54" i="2"/>
  <c r="I54" i="2"/>
  <c r="J54" i="2"/>
  <c r="K54" i="2"/>
  <c r="L54" i="2"/>
  <c r="M54" i="2"/>
  <c r="B54" i="2"/>
  <c r="B76" i="9"/>
  <c r="B12" i="9"/>
  <c r="B11" i="9"/>
  <c r="C78" i="9"/>
  <c r="O39" i="6"/>
  <c r="O40" i="6"/>
  <c r="O41" i="6"/>
  <c r="O51" i="6"/>
  <c r="O46" i="6"/>
  <c r="D24" i="2"/>
  <c r="E24" i="2"/>
  <c r="F24" i="2"/>
  <c r="G24" i="2"/>
  <c r="H24" i="2"/>
  <c r="I24" i="2"/>
  <c r="J24" i="2"/>
  <c r="K24" i="2"/>
  <c r="L24" i="2"/>
  <c r="M24" i="2"/>
  <c r="B24" i="2"/>
  <c r="C24" i="2"/>
  <c r="O19" i="6"/>
  <c r="O20" i="6"/>
  <c r="O21" i="6"/>
  <c r="O22" i="6"/>
  <c r="O18" i="6"/>
  <c r="D23" i="6"/>
  <c r="C9" i="2" s="1"/>
  <c r="B32" i="30" s="1"/>
  <c r="E23" i="6"/>
  <c r="D9" i="2" s="1"/>
  <c r="B52" i="30" s="1"/>
  <c r="F23" i="6"/>
  <c r="E9" i="2" s="1"/>
  <c r="B72" i="30" s="1"/>
  <c r="G23" i="6"/>
  <c r="F9" i="2" s="1"/>
  <c r="B93" i="30" s="1"/>
  <c r="B53" i="2"/>
  <c r="C53" i="2"/>
  <c r="D53" i="2"/>
  <c r="E53" i="2"/>
  <c r="F53" i="2"/>
  <c r="G53" i="2"/>
  <c r="H53" i="2"/>
  <c r="I53" i="2"/>
  <c r="J53" i="2"/>
  <c r="K53" i="2"/>
  <c r="L53" i="2"/>
  <c r="M53" i="2"/>
  <c r="B55" i="2"/>
  <c r="C55" i="2"/>
  <c r="D55" i="2"/>
  <c r="E55" i="2"/>
  <c r="F55" i="2"/>
  <c r="G55" i="2"/>
  <c r="H55" i="2"/>
  <c r="I55" i="2"/>
  <c r="J55" i="2"/>
  <c r="K55" i="2"/>
  <c r="L55" i="2"/>
  <c r="M55" i="2"/>
  <c r="E13" i="15"/>
  <c r="D67" i="6"/>
  <c r="C90" i="11"/>
  <c r="D90" i="11"/>
  <c r="E90" i="11"/>
  <c r="F90" i="11"/>
  <c r="G90" i="11"/>
  <c r="H90" i="11"/>
  <c r="I90" i="11"/>
  <c r="J90" i="11"/>
  <c r="K90" i="11"/>
  <c r="O65" i="6"/>
  <c r="B23" i="2"/>
  <c r="C23" i="2"/>
  <c r="D23" i="2"/>
  <c r="E23" i="2"/>
  <c r="F23" i="2"/>
  <c r="G23" i="2"/>
  <c r="H23" i="2"/>
  <c r="I23" i="2"/>
  <c r="J23" i="2"/>
  <c r="K23" i="2"/>
  <c r="L23" i="2"/>
  <c r="O64" i="6"/>
  <c r="O66" i="6"/>
  <c r="B51" i="2"/>
  <c r="C51" i="2"/>
  <c r="D51" i="2"/>
  <c r="E51" i="2"/>
  <c r="F51" i="2"/>
  <c r="G51" i="2"/>
  <c r="H51" i="2"/>
  <c r="I51" i="2"/>
  <c r="J51" i="2"/>
  <c r="K51" i="2"/>
  <c r="L51" i="2"/>
  <c r="M51" i="2"/>
  <c r="B52" i="2"/>
  <c r="C52" i="2"/>
  <c r="D52" i="2"/>
  <c r="E52" i="2"/>
  <c r="F52" i="2"/>
  <c r="G52" i="2"/>
  <c r="H52" i="2"/>
  <c r="I52" i="2"/>
  <c r="J52" i="2"/>
  <c r="K52" i="2"/>
  <c r="L52" i="2"/>
  <c r="M52" i="2"/>
  <c r="O88" i="11"/>
  <c r="O89" i="11"/>
  <c r="O10" i="6"/>
  <c r="O11" i="6"/>
  <c r="C69" i="9"/>
  <c r="C71" i="9" s="1"/>
  <c r="C86" i="9"/>
  <c r="C92" i="9"/>
  <c r="C50" i="2"/>
  <c r="D50" i="2"/>
  <c r="F50" i="2"/>
  <c r="G50" i="2"/>
  <c r="H50" i="2"/>
  <c r="I50" i="2"/>
  <c r="J50" i="2"/>
  <c r="K50" i="2"/>
  <c r="L50" i="2"/>
  <c r="M50" i="2"/>
  <c r="B50" i="2"/>
  <c r="E50" i="2"/>
  <c r="O80" i="11"/>
  <c r="O85" i="11"/>
  <c r="J19" i="2"/>
  <c r="B19" i="2"/>
  <c r="C19" i="2"/>
  <c r="D19" i="2"/>
  <c r="E19" i="2"/>
  <c r="F19" i="2"/>
  <c r="G19" i="2"/>
  <c r="H19" i="2"/>
  <c r="I19" i="2"/>
  <c r="K19" i="2"/>
  <c r="L19" i="2"/>
  <c r="M19" i="2"/>
  <c r="B13" i="2"/>
  <c r="C13" i="2"/>
  <c r="D13" i="2"/>
  <c r="E13" i="2"/>
  <c r="F13" i="2"/>
  <c r="G13" i="2"/>
  <c r="H13" i="2"/>
  <c r="I13" i="2"/>
  <c r="J13" i="2"/>
  <c r="K13" i="2"/>
  <c r="L13" i="2"/>
  <c r="M13" i="2"/>
  <c r="B14" i="2"/>
  <c r="B17" i="30" s="1"/>
  <c r="D17" i="30" s="1"/>
  <c r="C14" i="2"/>
  <c r="B37" i="30" s="1"/>
  <c r="D14" i="2"/>
  <c r="B57" i="30" s="1"/>
  <c r="D57" i="30" s="1"/>
  <c r="E14" i="2"/>
  <c r="B77" i="30" s="1"/>
  <c r="D77" i="30" s="1"/>
  <c r="F14" i="2"/>
  <c r="B98" i="30" s="1"/>
  <c r="D98" i="30" s="1"/>
  <c r="G14" i="2"/>
  <c r="B118" i="30" s="1"/>
  <c r="D118" i="30" s="1"/>
  <c r="H14" i="2"/>
  <c r="B139" i="30" s="1"/>
  <c r="D139" i="30" s="1"/>
  <c r="I14" i="2"/>
  <c r="B159" i="30" s="1"/>
  <c r="D159" i="30" s="1"/>
  <c r="J14" i="2"/>
  <c r="B179" i="30" s="1"/>
  <c r="D179" i="30" s="1"/>
  <c r="K14" i="2"/>
  <c r="B199" i="30" s="1"/>
  <c r="D199" i="30" s="1"/>
  <c r="L14" i="2"/>
  <c r="B219" i="30" s="1"/>
  <c r="D219" i="30" s="1"/>
  <c r="M14" i="2"/>
  <c r="B239" i="30" s="1"/>
  <c r="B16" i="2"/>
  <c r="C16" i="2"/>
  <c r="D16" i="2"/>
  <c r="E16" i="2"/>
  <c r="F16" i="2"/>
  <c r="G16" i="2"/>
  <c r="H16" i="2"/>
  <c r="I16" i="2"/>
  <c r="J16" i="2"/>
  <c r="K16" i="2"/>
  <c r="L16" i="2"/>
  <c r="M16" i="2"/>
  <c r="B17" i="2"/>
  <c r="C17" i="2"/>
  <c r="D17" i="2"/>
  <c r="E17" i="2"/>
  <c r="F17" i="2"/>
  <c r="G17" i="2"/>
  <c r="H17" i="2"/>
  <c r="I17" i="2"/>
  <c r="J17" i="2"/>
  <c r="K17" i="2"/>
  <c r="L17" i="2"/>
  <c r="M17" i="2"/>
  <c r="B18" i="2"/>
  <c r="C18" i="2"/>
  <c r="D18" i="2"/>
  <c r="E18" i="2"/>
  <c r="F18" i="2"/>
  <c r="G18" i="2"/>
  <c r="H18" i="2"/>
  <c r="I18" i="2"/>
  <c r="J18" i="2"/>
  <c r="K18" i="2"/>
  <c r="L18" i="2"/>
  <c r="M18" i="2"/>
  <c r="B20" i="2"/>
  <c r="C20" i="2"/>
  <c r="D20" i="2"/>
  <c r="E20" i="2"/>
  <c r="F20" i="2"/>
  <c r="G20" i="2"/>
  <c r="H20" i="2"/>
  <c r="I20" i="2"/>
  <c r="J20" i="2"/>
  <c r="K20" i="2"/>
  <c r="L20" i="2"/>
  <c r="M20" i="2"/>
  <c r="B21" i="2"/>
  <c r="C21" i="2"/>
  <c r="D21" i="2"/>
  <c r="E21" i="2"/>
  <c r="F21" i="2"/>
  <c r="G21" i="2"/>
  <c r="H21" i="2"/>
  <c r="I21" i="2"/>
  <c r="J21" i="2"/>
  <c r="K21" i="2"/>
  <c r="L21" i="2"/>
  <c r="M21" i="2"/>
  <c r="B22" i="2"/>
  <c r="C22" i="2"/>
  <c r="D22" i="2"/>
  <c r="E22" i="2"/>
  <c r="F22" i="2"/>
  <c r="G22" i="2"/>
  <c r="H22" i="2"/>
  <c r="I22" i="2"/>
  <c r="J22" i="2"/>
  <c r="K22" i="2"/>
  <c r="L22" i="2"/>
  <c r="M22" i="2"/>
  <c r="J29" i="11"/>
  <c r="I32" i="2" s="1"/>
  <c r="H29" i="11"/>
  <c r="G32" i="2" s="1"/>
  <c r="H40" i="2"/>
  <c r="I40" i="2"/>
  <c r="B40" i="2"/>
  <c r="C40" i="2"/>
  <c r="D40" i="2"/>
  <c r="E40" i="2"/>
  <c r="F40" i="2"/>
  <c r="G40" i="2"/>
  <c r="J40" i="2"/>
  <c r="K40" i="2"/>
  <c r="M40" i="2"/>
  <c r="H33" i="2"/>
  <c r="B33" i="2"/>
  <c r="C33" i="2"/>
  <c r="D33" i="2"/>
  <c r="E33" i="2"/>
  <c r="F33" i="2"/>
  <c r="G33" i="2"/>
  <c r="I33" i="2"/>
  <c r="J33" i="2"/>
  <c r="K33" i="2"/>
  <c r="L33" i="2"/>
  <c r="M33" i="2"/>
  <c r="K43" i="2"/>
  <c r="B43" i="2"/>
  <c r="C43" i="2"/>
  <c r="D43" i="2"/>
  <c r="E43" i="2"/>
  <c r="F43" i="2"/>
  <c r="G43" i="2"/>
  <c r="H43" i="2"/>
  <c r="I43" i="2"/>
  <c r="J43" i="2"/>
  <c r="L43" i="2"/>
  <c r="M43" i="2"/>
  <c r="B34" i="2"/>
  <c r="C34" i="2"/>
  <c r="D34" i="2"/>
  <c r="E34" i="2"/>
  <c r="F34" i="2"/>
  <c r="G34" i="2"/>
  <c r="H34" i="2"/>
  <c r="I34" i="2"/>
  <c r="J34" i="2"/>
  <c r="K34" i="2"/>
  <c r="L34" i="2"/>
  <c r="M34" i="2"/>
  <c r="B35" i="2"/>
  <c r="C35" i="2"/>
  <c r="D35" i="2"/>
  <c r="E35" i="2"/>
  <c r="F35" i="2"/>
  <c r="G35" i="2"/>
  <c r="H35" i="2"/>
  <c r="I35" i="2"/>
  <c r="J35" i="2"/>
  <c r="K35" i="2"/>
  <c r="L35" i="2"/>
  <c r="M35" i="2"/>
  <c r="B36" i="2"/>
  <c r="C36" i="2"/>
  <c r="D36" i="2"/>
  <c r="E36" i="2"/>
  <c r="F36" i="2"/>
  <c r="G36" i="2"/>
  <c r="H36" i="2"/>
  <c r="I36" i="2"/>
  <c r="J36" i="2"/>
  <c r="K36" i="2"/>
  <c r="L36" i="2"/>
  <c r="M36" i="2"/>
  <c r="B37" i="2"/>
  <c r="C37" i="2"/>
  <c r="D37" i="2"/>
  <c r="E37" i="2"/>
  <c r="F37" i="2"/>
  <c r="G37" i="2"/>
  <c r="H37" i="2"/>
  <c r="I37" i="2"/>
  <c r="J37" i="2"/>
  <c r="K37" i="2"/>
  <c r="L37" i="2"/>
  <c r="M37" i="2"/>
  <c r="B38" i="2"/>
  <c r="C38" i="2"/>
  <c r="D38" i="2"/>
  <c r="E38" i="2"/>
  <c r="F38" i="2"/>
  <c r="G38" i="2"/>
  <c r="H38" i="2"/>
  <c r="I38" i="2"/>
  <c r="J38" i="2"/>
  <c r="K38" i="2"/>
  <c r="L38" i="2"/>
  <c r="M38" i="2"/>
  <c r="B39" i="2"/>
  <c r="C39" i="2"/>
  <c r="D39" i="2"/>
  <c r="E39" i="2"/>
  <c r="F39" i="2"/>
  <c r="G39" i="2"/>
  <c r="H39" i="2"/>
  <c r="I39" i="2"/>
  <c r="J39" i="2"/>
  <c r="K39" i="2"/>
  <c r="L39" i="2"/>
  <c r="M39" i="2"/>
  <c r="B41" i="2"/>
  <c r="C41" i="2"/>
  <c r="D41" i="2"/>
  <c r="E41" i="2"/>
  <c r="F41" i="2"/>
  <c r="G41" i="2"/>
  <c r="H41" i="2"/>
  <c r="I41" i="2"/>
  <c r="J41" i="2"/>
  <c r="K41" i="2"/>
  <c r="L41" i="2"/>
  <c r="M41" i="2"/>
  <c r="B44" i="2"/>
  <c r="C44" i="2"/>
  <c r="D44" i="2"/>
  <c r="E44" i="2"/>
  <c r="F44" i="2"/>
  <c r="G44" i="2"/>
  <c r="H44" i="2"/>
  <c r="I44" i="2"/>
  <c r="J44" i="2"/>
  <c r="K44" i="2"/>
  <c r="L44" i="2"/>
  <c r="M44" i="2"/>
  <c r="B45" i="2"/>
  <c r="C45" i="2"/>
  <c r="D45" i="2"/>
  <c r="E45" i="2"/>
  <c r="F45" i="2"/>
  <c r="G45" i="2"/>
  <c r="H45" i="2"/>
  <c r="I45" i="2"/>
  <c r="J45" i="2"/>
  <c r="K45" i="2"/>
  <c r="L45" i="2"/>
  <c r="M45" i="2"/>
  <c r="B46" i="2"/>
  <c r="C46" i="2"/>
  <c r="D46" i="2"/>
  <c r="E46" i="2"/>
  <c r="F46" i="2"/>
  <c r="G46" i="2"/>
  <c r="H46" i="2"/>
  <c r="I46" i="2"/>
  <c r="J46" i="2"/>
  <c r="K46" i="2"/>
  <c r="L46" i="2"/>
  <c r="M46" i="2"/>
  <c r="B47" i="2"/>
  <c r="C47" i="2"/>
  <c r="D47" i="2"/>
  <c r="E47" i="2"/>
  <c r="F47" i="2"/>
  <c r="G47" i="2"/>
  <c r="H47" i="2"/>
  <c r="I47" i="2"/>
  <c r="J47" i="2"/>
  <c r="M47" i="2"/>
  <c r="B48" i="2"/>
  <c r="C48" i="2"/>
  <c r="D48" i="2"/>
  <c r="E48" i="2"/>
  <c r="F48" i="2"/>
  <c r="G48" i="2"/>
  <c r="H48" i="2"/>
  <c r="I48" i="2"/>
  <c r="J48" i="2"/>
  <c r="K48" i="2"/>
  <c r="L48" i="2"/>
  <c r="M48" i="2"/>
  <c r="B49" i="2"/>
  <c r="C49" i="2"/>
  <c r="D49" i="2"/>
  <c r="E49" i="2"/>
  <c r="F49" i="2"/>
  <c r="G49" i="2"/>
  <c r="H49" i="2"/>
  <c r="I49" i="2"/>
  <c r="J49" i="2"/>
  <c r="K49" i="2"/>
  <c r="L49" i="2"/>
  <c r="M49" i="2"/>
  <c r="K67" i="6"/>
  <c r="J44" i="11"/>
  <c r="I44" i="11"/>
  <c r="E67" i="6"/>
  <c r="F67" i="6"/>
  <c r="G67" i="6"/>
  <c r="H67" i="6"/>
  <c r="I67" i="6"/>
  <c r="J67" i="6"/>
  <c r="L67" i="6"/>
  <c r="M67" i="6"/>
  <c r="O60" i="6"/>
  <c r="O54" i="6"/>
  <c r="C67" i="6"/>
  <c r="O82" i="11"/>
  <c r="O83" i="11"/>
  <c r="O84" i="11"/>
  <c r="O8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65" i="11"/>
  <c r="O64" i="11"/>
  <c r="O63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E52" i="11"/>
  <c r="O26" i="6"/>
  <c r="O27" i="6"/>
  <c r="O28" i="6"/>
  <c r="O29" i="6"/>
  <c r="O30" i="6"/>
  <c r="O31" i="6"/>
  <c r="O36" i="11"/>
  <c r="O37" i="11"/>
  <c r="O38" i="11"/>
  <c r="O40" i="11"/>
  <c r="O42" i="11"/>
  <c r="O47" i="6"/>
  <c r="O48" i="6"/>
  <c r="O49" i="6"/>
  <c r="O50" i="6"/>
  <c r="O63" i="6"/>
  <c r="G15" i="11"/>
  <c r="I15" i="11"/>
  <c r="H30" i="2" s="1"/>
  <c r="J15" i="11"/>
  <c r="I30" i="2" s="1"/>
  <c r="K15" i="11"/>
  <c r="J30" i="2" s="1"/>
  <c r="I23" i="6"/>
  <c r="H9" i="2" s="1"/>
  <c r="B134" i="30" s="1"/>
  <c r="J23" i="6"/>
  <c r="I9" i="2"/>
  <c r="B154" i="30" s="1"/>
  <c r="K23" i="6"/>
  <c r="J9" i="2" s="1"/>
  <c r="B174" i="30" s="1"/>
  <c r="E36" i="6"/>
  <c r="D10" i="2" s="1"/>
  <c r="C52" i="30" s="1"/>
  <c r="C58" i="30" s="1"/>
  <c r="F36" i="6"/>
  <c r="E10" i="2"/>
  <c r="C72" i="30" s="1"/>
  <c r="C78" i="30" s="1"/>
  <c r="G36" i="6"/>
  <c r="H36" i="6"/>
  <c r="G10" i="2" s="1"/>
  <c r="C113" i="30" s="1"/>
  <c r="C119" i="30" s="1"/>
  <c r="I10" i="2"/>
  <c r="C154" i="30" s="1"/>
  <c r="C160" i="30" s="1"/>
  <c r="J10" i="2"/>
  <c r="C174" i="30" s="1"/>
  <c r="C180" i="30" s="1"/>
  <c r="H44" i="6"/>
  <c r="G11" i="2" s="1"/>
  <c r="B116" i="30" s="1"/>
  <c r="D116" i="30" s="1"/>
  <c r="J44" i="6"/>
  <c r="I11" i="2" s="1"/>
  <c r="B157" i="30" s="1"/>
  <c r="D157" i="30" s="1"/>
  <c r="K44" i="6"/>
  <c r="J11" i="2" s="1"/>
  <c r="B177" i="30" s="1"/>
  <c r="D177" i="30" s="1"/>
  <c r="I15" i="6"/>
  <c r="H8" i="2" s="1"/>
  <c r="B135" i="30" s="1"/>
  <c r="D135" i="30" s="1"/>
  <c r="J15" i="6"/>
  <c r="I8" i="2" s="1"/>
  <c r="B155" i="30" s="1"/>
  <c r="D155" i="30" s="1"/>
  <c r="G15" i="6"/>
  <c r="F8" i="2" s="1"/>
  <c r="B94" i="30" s="1"/>
  <c r="D94" i="30" s="1"/>
  <c r="H15" i="6"/>
  <c r="G8" i="2" s="1"/>
  <c r="B114" i="30" s="1"/>
  <c r="D114" i="30" s="1"/>
  <c r="K15" i="6"/>
  <c r="H23" i="6"/>
  <c r="O17" i="6"/>
  <c r="C52" i="6"/>
  <c r="B12" i="2" s="1"/>
  <c r="D52" i="6"/>
  <c r="C12" i="2" s="1"/>
  <c r="E52" i="6"/>
  <c r="D12" i="2" s="1"/>
  <c r="F52" i="6"/>
  <c r="E12" i="2"/>
  <c r="G52" i="6"/>
  <c r="F12" i="2" s="1"/>
  <c r="H52" i="6"/>
  <c r="G12" i="2" s="1"/>
  <c r="I52" i="6"/>
  <c r="H12" i="2" s="1"/>
  <c r="J52" i="6"/>
  <c r="I12" i="2" s="1"/>
  <c r="K52" i="6"/>
  <c r="J12" i="2" s="1"/>
  <c r="A4" i="9"/>
  <c r="A3" i="9"/>
  <c r="A2" i="9"/>
  <c r="A2" i="2" s="1"/>
  <c r="A2" i="6" s="1"/>
  <c r="A2" i="11" s="1"/>
  <c r="A2" i="13" s="1"/>
  <c r="A2" i="14" s="1"/>
  <c r="A1" i="9"/>
  <c r="A1" i="2" s="1"/>
  <c r="A1" i="6" s="1"/>
  <c r="A1" i="11" s="1"/>
  <c r="A1" i="13" s="1"/>
  <c r="A1" i="14" s="1"/>
  <c r="A5" i="9"/>
  <c r="A5" i="2" s="1"/>
  <c r="A5" i="6" s="1"/>
  <c r="A5" i="11" s="1"/>
  <c r="A5" i="13" s="1"/>
  <c r="C15" i="6"/>
  <c r="B8" i="2" s="1"/>
  <c r="B13" i="30" s="1"/>
  <c r="D13" i="30" s="1"/>
  <c r="C36" i="6"/>
  <c r="D15" i="6"/>
  <c r="C8" i="2" s="1"/>
  <c r="B33" i="30" s="1"/>
  <c r="D33" i="30" s="1"/>
  <c r="D36" i="6"/>
  <c r="C10" i="2" s="1"/>
  <c r="C32" i="30" s="1"/>
  <c r="C38" i="30" s="1"/>
  <c r="E15" i="6"/>
  <c r="D8" i="2" s="1"/>
  <c r="B53" i="30" s="1"/>
  <c r="D53" i="30" s="1"/>
  <c r="F15" i="6"/>
  <c r="E8" i="2" s="1"/>
  <c r="B73" i="30" s="1"/>
  <c r="D73" i="30" s="1"/>
  <c r="C29" i="11"/>
  <c r="B32" i="2" s="1"/>
  <c r="C22" i="11"/>
  <c r="B31" i="2" s="1"/>
  <c r="D15" i="11"/>
  <c r="C30" i="2" s="1"/>
  <c r="D29" i="11"/>
  <c r="C32" i="2" s="1"/>
  <c r="D22" i="11"/>
  <c r="C31" i="2"/>
  <c r="E15" i="11"/>
  <c r="E29" i="11"/>
  <c r="D32" i="2" s="1"/>
  <c r="E22" i="11"/>
  <c r="D31" i="2"/>
  <c r="F15" i="11"/>
  <c r="F29" i="11"/>
  <c r="F30" i="11"/>
  <c r="F22" i="11"/>
  <c r="G22" i="11"/>
  <c r="F31" i="2" s="1"/>
  <c r="G29" i="11"/>
  <c r="H22" i="11"/>
  <c r="I22" i="11"/>
  <c r="H31" i="2" s="1"/>
  <c r="I29" i="11"/>
  <c r="H32" i="2"/>
  <c r="J22" i="11"/>
  <c r="I31" i="2"/>
  <c r="K29" i="11"/>
  <c r="J32" i="2" s="1"/>
  <c r="K22" i="11"/>
  <c r="J31" i="2"/>
  <c r="L29" i="11"/>
  <c r="K32" i="2"/>
  <c r="L22" i="11"/>
  <c r="K31" i="2"/>
  <c r="M29" i="11"/>
  <c r="L32" i="2" s="1"/>
  <c r="M22" i="11"/>
  <c r="L31" i="2"/>
  <c r="M30" i="14"/>
  <c r="M35" i="14"/>
  <c r="H136" i="9"/>
  <c r="O104" i="11"/>
  <c r="O81" i="11"/>
  <c r="O35" i="11"/>
  <c r="O34" i="11"/>
  <c r="O102" i="11"/>
  <c r="O43" i="11"/>
  <c r="O100" i="11"/>
  <c r="O93" i="11"/>
  <c r="O101" i="11"/>
  <c r="O103" i="11"/>
  <c r="H146" i="9"/>
  <c r="A146" i="9"/>
  <c r="H153" i="9"/>
  <c r="C44" i="6"/>
  <c r="B11" i="2" s="1"/>
  <c r="B15" i="30" s="1"/>
  <c r="D15" i="30" s="1"/>
  <c r="D44" i="6"/>
  <c r="C11" i="2"/>
  <c r="B35" i="30" s="1"/>
  <c r="D35" i="30" s="1"/>
  <c r="E44" i="6"/>
  <c r="D11" i="2" s="1"/>
  <c r="B55" i="30" s="1"/>
  <c r="D55" i="30" s="1"/>
  <c r="F44" i="6"/>
  <c r="E11" i="2" s="1"/>
  <c r="B75" i="30" s="1"/>
  <c r="D75" i="30" s="1"/>
  <c r="G44" i="6"/>
  <c r="F11" i="2" s="1"/>
  <c r="B96" i="30" s="1"/>
  <c r="D96" i="30" s="1"/>
  <c r="I44" i="6"/>
  <c r="H11" i="2" s="1"/>
  <c r="B137" i="30" s="1"/>
  <c r="D137" i="30" s="1"/>
  <c r="D25" i="14"/>
  <c r="K26" i="14" s="1"/>
  <c r="K25" i="14"/>
  <c r="B13" i="9"/>
  <c r="O61" i="6"/>
  <c r="O38" i="6"/>
  <c r="O42" i="6"/>
  <c r="O59" i="6"/>
  <c r="O57" i="6"/>
  <c r="O58" i="6"/>
  <c r="O55" i="6"/>
  <c r="O62" i="6"/>
  <c r="AB70" i="12"/>
  <c r="AA70" i="12"/>
  <c r="AC70" i="12"/>
  <c r="AB71" i="12"/>
  <c r="AA71" i="12"/>
  <c r="AC71" i="12"/>
  <c r="AB72" i="12"/>
  <c r="AA72" i="12"/>
  <c r="AC72" i="12"/>
  <c r="AB73" i="12"/>
  <c r="AA73" i="12"/>
  <c r="AC73" i="12"/>
  <c r="AB74" i="12"/>
  <c r="AA74" i="12"/>
  <c r="AC74" i="12"/>
  <c r="AA63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4" i="12"/>
  <c r="AA65" i="12"/>
  <c r="AA66" i="12"/>
  <c r="AA67" i="12"/>
  <c r="AA68" i="12"/>
  <c r="AA69" i="12"/>
  <c r="AA75" i="12"/>
  <c r="AA7" i="12"/>
  <c r="AB7" i="12"/>
  <c r="AC7" i="12"/>
  <c r="AB8" i="12"/>
  <c r="AC8" i="12"/>
  <c r="AB9" i="12"/>
  <c r="AC9" i="12"/>
  <c r="AB10" i="12"/>
  <c r="AC10" i="12"/>
  <c r="AB11" i="12"/>
  <c r="AC11" i="12"/>
  <c r="AB12" i="12"/>
  <c r="AC12" i="12"/>
  <c r="AB13" i="12"/>
  <c r="AC13" i="12"/>
  <c r="AB14" i="12"/>
  <c r="AC14" i="12"/>
  <c r="AB15" i="12"/>
  <c r="AC15" i="12"/>
  <c r="AB16" i="12"/>
  <c r="AC16" i="12"/>
  <c r="AB17" i="12"/>
  <c r="AC17" i="12"/>
  <c r="AB18" i="12"/>
  <c r="AC18" i="12"/>
  <c r="AB19" i="12"/>
  <c r="AC19" i="12"/>
  <c r="AB20" i="12"/>
  <c r="AC20" i="12"/>
  <c r="AB21" i="12"/>
  <c r="AC21" i="12"/>
  <c r="AB22" i="12"/>
  <c r="AC22" i="12"/>
  <c r="AB23" i="12"/>
  <c r="AC23" i="12"/>
  <c r="AB24" i="12"/>
  <c r="AC24" i="12"/>
  <c r="AB25" i="12"/>
  <c r="AC25" i="12"/>
  <c r="AB26" i="12"/>
  <c r="AC26" i="12"/>
  <c r="AB27" i="12"/>
  <c r="AC27" i="12"/>
  <c r="AB28" i="12"/>
  <c r="AC28" i="12"/>
  <c r="AB29" i="12"/>
  <c r="AC29" i="12"/>
  <c r="AB30" i="12"/>
  <c r="AC30" i="12"/>
  <c r="AB31" i="12"/>
  <c r="AC31" i="12"/>
  <c r="AB32" i="12"/>
  <c r="AC32" i="12"/>
  <c r="AB33" i="12"/>
  <c r="AC33" i="12"/>
  <c r="AB34" i="12"/>
  <c r="AC34" i="12"/>
  <c r="AB35" i="12"/>
  <c r="AC35" i="12"/>
  <c r="AB36" i="12"/>
  <c r="AC36" i="12"/>
  <c r="AB37" i="12"/>
  <c r="AC37" i="12"/>
  <c r="AB38" i="12"/>
  <c r="AC38" i="12"/>
  <c r="AB39" i="12"/>
  <c r="AC39" i="12"/>
  <c r="AB40" i="12"/>
  <c r="AC40" i="12"/>
  <c r="AB41" i="12"/>
  <c r="AC41" i="12"/>
  <c r="AB42" i="12"/>
  <c r="AC42" i="12"/>
  <c r="AB43" i="12"/>
  <c r="AC43" i="12"/>
  <c r="AB44" i="12"/>
  <c r="AC44" i="12"/>
  <c r="AB45" i="12"/>
  <c r="AC45" i="12"/>
  <c r="AB46" i="12"/>
  <c r="AC46" i="12"/>
  <c r="AB47" i="12"/>
  <c r="AC47" i="12"/>
  <c r="AB48" i="12"/>
  <c r="AC48" i="12"/>
  <c r="AB49" i="12"/>
  <c r="AC49" i="12"/>
  <c r="AB50" i="12"/>
  <c r="AC50" i="12"/>
  <c r="AB51" i="12"/>
  <c r="AC51" i="12"/>
  <c r="AB52" i="12"/>
  <c r="AC52" i="12"/>
  <c r="AB53" i="12"/>
  <c r="AC53" i="12"/>
  <c r="AB54" i="12"/>
  <c r="AC54" i="12"/>
  <c r="AB55" i="12"/>
  <c r="AC55" i="12"/>
  <c r="AB56" i="12"/>
  <c r="AC56" i="12"/>
  <c r="AB57" i="12"/>
  <c r="AC57" i="12"/>
  <c r="AB58" i="12"/>
  <c r="AC58" i="12"/>
  <c r="AB59" i="12"/>
  <c r="AC59" i="12"/>
  <c r="AB60" i="12"/>
  <c r="AC60" i="12"/>
  <c r="AB61" i="12"/>
  <c r="AC61" i="12"/>
  <c r="AB62" i="12"/>
  <c r="AC62" i="12"/>
  <c r="AB63" i="12"/>
  <c r="AC63" i="12"/>
  <c r="AB64" i="12"/>
  <c r="AC64" i="12"/>
  <c r="AB65" i="12"/>
  <c r="AC65" i="12"/>
  <c r="AB66" i="12"/>
  <c r="AC66" i="12"/>
  <c r="AB67" i="12"/>
  <c r="AC67" i="12"/>
  <c r="AB68" i="12"/>
  <c r="AC68" i="12"/>
  <c r="AB69" i="12"/>
  <c r="AC69" i="12"/>
  <c r="AC76" i="12"/>
  <c r="AB76" i="12"/>
  <c r="AA76" i="12"/>
  <c r="O95" i="11"/>
  <c r="O94" i="11"/>
  <c r="O79" i="11"/>
  <c r="O75" i="11"/>
  <c r="O74" i="11"/>
  <c r="O73" i="11"/>
  <c r="O72" i="11"/>
  <c r="O71" i="11"/>
  <c r="D68" i="11"/>
  <c r="E68" i="11"/>
  <c r="F68" i="11"/>
  <c r="G68" i="11"/>
  <c r="H68" i="11"/>
  <c r="I68" i="11"/>
  <c r="J68" i="11"/>
  <c r="K68" i="11"/>
  <c r="L68" i="11"/>
  <c r="M68" i="11"/>
  <c r="N68" i="11"/>
  <c r="O67" i="11"/>
  <c r="O66" i="11"/>
  <c r="O59" i="11"/>
  <c r="O58" i="11"/>
  <c r="O57" i="11"/>
  <c r="O56" i="11"/>
  <c r="O55" i="11"/>
  <c r="O51" i="11"/>
  <c r="O50" i="11"/>
  <c r="O49" i="11"/>
  <c r="O48" i="11"/>
  <c r="O47" i="11"/>
  <c r="C44" i="11"/>
  <c r="D44" i="11"/>
  <c r="E44" i="11"/>
  <c r="F44" i="11"/>
  <c r="G44" i="11"/>
  <c r="H44" i="11"/>
  <c r="K44" i="11"/>
  <c r="O28" i="11"/>
  <c r="O27" i="11"/>
  <c r="O26" i="11"/>
  <c r="O25" i="11"/>
  <c r="O24" i="11"/>
  <c r="O21" i="11"/>
  <c r="O20" i="11"/>
  <c r="O19" i="11"/>
  <c r="O18" i="11"/>
  <c r="O17" i="11"/>
  <c r="O23" i="11"/>
  <c r="O16" i="11"/>
  <c r="O14" i="11"/>
  <c r="O13" i="11"/>
  <c r="O12" i="11"/>
  <c r="O11" i="11"/>
  <c r="O10" i="11"/>
  <c r="O45" i="6"/>
  <c r="O37" i="6"/>
  <c r="O35" i="6"/>
  <c r="O34" i="6"/>
  <c r="O33" i="6"/>
  <c r="O32" i="6"/>
  <c r="O25" i="6"/>
  <c r="O16" i="6"/>
  <c r="O14" i="6"/>
  <c r="O13" i="6"/>
  <c r="O12" i="6"/>
  <c r="O9" i="6"/>
  <c r="A4" i="2"/>
  <c r="A4" i="6" s="1"/>
  <c r="A4" i="11" s="1"/>
  <c r="A4" i="13" s="1"/>
  <c r="A4" i="14" s="1"/>
  <c r="D30" i="2"/>
  <c r="O68" i="11"/>
  <c r="O76" i="11"/>
  <c r="O60" i="11"/>
  <c r="G9" i="2"/>
  <c r="B113" i="30" s="1"/>
  <c r="E30" i="2"/>
  <c r="E31" i="2"/>
  <c r="E32" i="2"/>
  <c r="B30" i="2"/>
  <c r="F10" i="2"/>
  <c r="C93" i="30" s="1"/>
  <c r="C99" i="30" s="1"/>
  <c r="J8" i="2"/>
  <c r="B175" i="30" s="1"/>
  <c r="D175" i="30" s="1"/>
  <c r="K121" i="9"/>
  <c r="N108" i="11" l="1"/>
  <c r="M21" i="14" s="1"/>
  <c r="N58" i="2"/>
  <c r="B64" i="9"/>
  <c r="N59" i="2"/>
  <c r="B63" i="9"/>
  <c r="E13" i="30"/>
  <c r="F13" i="30"/>
  <c r="I13" i="30"/>
  <c r="G13" i="30"/>
  <c r="I199" i="30"/>
  <c r="G199" i="30"/>
  <c r="F199" i="30"/>
  <c r="E199" i="30"/>
  <c r="D154" i="30"/>
  <c r="B160" i="30"/>
  <c r="I159" i="30"/>
  <c r="G159" i="30"/>
  <c r="E159" i="30"/>
  <c r="F159" i="30"/>
  <c r="D72" i="30"/>
  <c r="B78" i="30"/>
  <c r="F114" i="30"/>
  <c r="E114" i="30"/>
  <c r="G114" i="30"/>
  <c r="I114" i="30"/>
  <c r="E137" i="30"/>
  <c r="G137" i="30"/>
  <c r="I137" i="30"/>
  <c r="F137" i="30"/>
  <c r="D134" i="30"/>
  <c r="B140" i="30"/>
  <c r="F118" i="30"/>
  <c r="E118" i="30"/>
  <c r="G118" i="30"/>
  <c r="I118" i="30"/>
  <c r="D32" i="30"/>
  <c r="I96" i="30"/>
  <c r="G96" i="30"/>
  <c r="E96" i="30"/>
  <c r="F96" i="30"/>
  <c r="I75" i="30"/>
  <c r="E75" i="30"/>
  <c r="G75" i="30"/>
  <c r="F75" i="30"/>
  <c r="E135" i="30"/>
  <c r="F135" i="30"/>
  <c r="G135" i="30"/>
  <c r="I135" i="30"/>
  <c r="I177" i="30"/>
  <c r="G177" i="30"/>
  <c r="E177" i="30"/>
  <c r="F177" i="30"/>
  <c r="B38" i="30"/>
  <c r="D37" i="30"/>
  <c r="D194" i="30"/>
  <c r="I116" i="30"/>
  <c r="E116" i="30"/>
  <c r="F116" i="30"/>
  <c r="G116" i="30"/>
  <c r="E17" i="30"/>
  <c r="F17" i="30"/>
  <c r="G17" i="30"/>
  <c r="I17" i="30"/>
  <c r="G73" i="30"/>
  <c r="I73" i="30"/>
  <c r="E73" i="30"/>
  <c r="F73" i="30"/>
  <c r="I53" i="30"/>
  <c r="E53" i="30"/>
  <c r="F53" i="30"/>
  <c r="G53" i="30"/>
  <c r="I33" i="30"/>
  <c r="F33" i="30"/>
  <c r="E33" i="30"/>
  <c r="G33" i="30"/>
  <c r="G219" i="30"/>
  <c r="F219" i="30"/>
  <c r="I219" i="30"/>
  <c r="E219" i="30"/>
  <c r="B119" i="30"/>
  <c r="D113" i="30"/>
  <c r="B180" i="30"/>
  <c r="D174" i="30"/>
  <c r="I179" i="30"/>
  <c r="G179" i="30"/>
  <c r="F179" i="30"/>
  <c r="E179" i="30"/>
  <c r="D93" i="30"/>
  <c r="B99" i="30"/>
  <c r="G139" i="30"/>
  <c r="I139" i="30"/>
  <c r="F139" i="30"/>
  <c r="E139" i="30"/>
  <c r="D52" i="30"/>
  <c r="B58" i="30"/>
  <c r="G94" i="30"/>
  <c r="E94" i="30"/>
  <c r="I94" i="30"/>
  <c r="F94" i="30"/>
  <c r="I155" i="30"/>
  <c r="G155" i="30"/>
  <c r="F155" i="30"/>
  <c r="E155" i="30"/>
  <c r="E98" i="30"/>
  <c r="I98" i="30"/>
  <c r="G98" i="30"/>
  <c r="F98" i="30"/>
  <c r="E77" i="30"/>
  <c r="I77" i="30"/>
  <c r="F77" i="30"/>
  <c r="G77" i="30"/>
  <c r="I55" i="30"/>
  <c r="F55" i="30"/>
  <c r="G55" i="30"/>
  <c r="E55" i="30"/>
  <c r="H55" i="30" s="1"/>
  <c r="G57" i="30"/>
  <c r="F57" i="30"/>
  <c r="E57" i="30"/>
  <c r="I57" i="30"/>
  <c r="G35" i="30"/>
  <c r="I35" i="30"/>
  <c r="E35" i="30"/>
  <c r="F35" i="30"/>
  <c r="I157" i="30"/>
  <c r="G157" i="30"/>
  <c r="E157" i="30"/>
  <c r="F157" i="30"/>
  <c r="I175" i="30"/>
  <c r="F175" i="30"/>
  <c r="G175" i="30"/>
  <c r="E175" i="30"/>
  <c r="H175" i="30" s="1"/>
  <c r="E15" i="30"/>
  <c r="F15" i="30"/>
  <c r="G15" i="30"/>
  <c r="I15" i="30"/>
  <c r="I197" i="30"/>
  <c r="G197" i="30"/>
  <c r="F197" i="30"/>
  <c r="E197" i="30"/>
  <c r="H197" i="30" s="1"/>
  <c r="G235" i="30"/>
  <c r="F235" i="30"/>
  <c r="I235" i="30"/>
  <c r="E235" i="30"/>
  <c r="I237" i="30"/>
  <c r="E237" i="30"/>
  <c r="F237" i="30"/>
  <c r="G237" i="30"/>
  <c r="D239" i="30"/>
  <c r="B259" i="30"/>
  <c r="D234" i="30"/>
  <c r="B240" i="30"/>
  <c r="D217" i="30"/>
  <c r="B257" i="30"/>
  <c r="C220" i="30"/>
  <c r="D214" i="30"/>
  <c r="D215" i="30"/>
  <c r="B220" i="30"/>
  <c r="O52" i="11"/>
  <c r="N16" i="2"/>
  <c r="B24" i="9" s="1"/>
  <c r="N23" i="2"/>
  <c r="B31" i="9" s="1"/>
  <c r="N39" i="2"/>
  <c r="B46" i="9" s="1"/>
  <c r="C5" i="29"/>
  <c r="C17" i="29" s="1"/>
  <c r="O22" i="11"/>
  <c r="N44" i="2"/>
  <c r="N35" i="2"/>
  <c r="N52" i="2"/>
  <c r="B60" i="9" s="1"/>
  <c r="N48" i="2"/>
  <c r="B55" i="9" s="1"/>
  <c r="N43" i="2"/>
  <c r="B50" i="9" s="1"/>
  <c r="N54" i="2"/>
  <c r="N46" i="2"/>
  <c r="B53" i="9" s="1"/>
  <c r="N41" i="2"/>
  <c r="N33" i="2"/>
  <c r="B40" i="9" s="1"/>
  <c r="N51" i="2"/>
  <c r="B59" i="9" s="1"/>
  <c r="N49" i="2"/>
  <c r="B56" i="9" s="1"/>
  <c r="N45" i="2"/>
  <c r="B52" i="9" s="1"/>
  <c r="N38" i="2"/>
  <c r="B45" i="9" s="1"/>
  <c r="N36" i="2"/>
  <c r="B43" i="9" s="1"/>
  <c r="N19" i="2"/>
  <c r="B27" i="9" s="1"/>
  <c r="N22" i="2"/>
  <c r="B30" i="9" s="1"/>
  <c r="N21" i="2"/>
  <c r="B29" i="9" s="1"/>
  <c r="N20" i="2"/>
  <c r="B28" i="9" s="1"/>
  <c r="N18" i="2"/>
  <c r="B26" i="9" s="1"/>
  <c r="N17" i="2"/>
  <c r="B25" i="9" s="1"/>
  <c r="N13" i="2"/>
  <c r="B21" i="9" s="1"/>
  <c r="N14" i="2"/>
  <c r="N50" i="2"/>
  <c r="B58" i="9" s="1"/>
  <c r="F68" i="6"/>
  <c r="F13" i="14" s="1"/>
  <c r="N34" i="2"/>
  <c r="B41" i="9" s="1"/>
  <c r="O29" i="11"/>
  <c r="O23" i="6"/>
  <c r="O44" i="6"/>
  <c r="N37" i="2"/>
  <c r="B44" i="9" s="1"/>
  <c r="N47" i="2"/>
  <c r="B54" i="9" s="1"/>
  <c r="O96" i="11"/>
  <c r="N53" i="2"/>
  <c r="N12" i="2"/>
  <c r="O43" i="6"/>
  <c r="N40" i="2"/>
  <c r="D68" i="6"/>
  <c r="F11" i="14" s="1"/>
  <c r="O36" i="6"/>
  <c r="O15" i="6"/>
  <c r="N55" i="2"/>
  <c r="O44" i="11"/>
  <c r="O67" i="6"/>
  <c r="N24" i="2"/>
  <c r="B32" i="9" s="1"/>
  <c r="B10" i="2"/>
  <c r="C68" i="6"/>
  <c r="F10" i="14" s="1"/>
  <c r="B9" i="2"/>
  <c r="O90" i="11"/>
  <c r="H62" i="2"/>
  <c r="N42" i="2"/>
  <c r="B49" i="9" s="1"/>
  <c r="F108" i="11"/>
  <c r="B42" i="9"/>
  <c r="K62" i="2"/>
  <c r="D108" i="11"/>
  <c r="M11" i="14" s="1"/>
  <c r="I62" i="2"/>
  <c r="F32" i="2"/>
  <c r="N32" i="2" s="1"/>
  <c r="K108" i="11"/>
  <c r="M18" i="14" s="1"/>
  <c r="E62" i="2"/>
  <c r="C108" i="11"/>
  <c r="M10" i="14" s="1"/>
  <c r="I108" i="11"/>
  <c r="M16" i="14" s="1"/>
  <c r="L108" i="11"/>
  <c r="M19" i="14" s="1"/>
  <c r="B62" i="2"/>
  <c r="G31" i="2"/>
  <c r="J62" i="2"/>
  <c r="L62" i="2"/>
  <c r="J108" i="11"/>
  <c r="E108" i="11"/>
  <c r="G108" i="11"/>
  <c r="M14" i="14" s="1"/>
  <c r="H108" i="11"/>
  <c r="C62" i="2"/>
  <c r="F30" i="2"/>
  <c r="D62" i="2"/>
  <c r="M30" i="2"/>
  <c r="M62" i="2" s="1"/>
  <c r="M108" i="11"/>
  <c r="M20" i="14" s="1"/>
  <c r="O15" i="11"/>
  <c r="L27" i="2"/>
  <c r="O52" i="6"/>
  <c r="K68" i="6"/>
  <c r="F18" i="14" s="1"/>
  <c r="N11" i="2"/>
  <c r="I27" i="2"/>
  <c r="N68" i="6"/>
  <c r="F21" i="14" s="1"/>
  <c r="H27" i="2"/>
  <c r="L68" i="6"/>
  <c r="F19" i="14" s="1"/>
  <c r="J27" i="2"/>
  <c r="E68" i="6"/>
  <c r="F12" i="14" s="1"/>
  <c r="C27" i="2"/>
  <c r="M68" i="6"/>
  <c r="F20" i="14" s="1"/>
  <c r="G68" i="6"/>
  <c r="F14" i="14" s="1"/>
  <c r="M27" i="2"/>
  <c r="G27" i="2"/>
  <c r="E27" i="2"/>
  <c r="F27" i="2"/>
  <c r="D27" i="2"/>
  <c r="H68" i="6"/>
  <c r="F15" i="14" s="1"/>
  <c r="J68" i="6"/>
  <c r="F17" i="14" s="1"/>
  <c r="I68" i="6"/>
  <c r="F16" i="14" s="1"/>
  <c r="K8" i="2"/>
  <c r="B14" i="9"/>
  <c r="A3" i="2"/>
  <c r="A3" i="6" s="1"/>
  <c r="A3" i="11" s="1"/>
  <c r="A3" i="13" s="1"/>
  <c r="A3" i="14" s="1"/>
  <c r="B65" i="2"/>
  <c r="H235" i="30" l="1"/>
  <c r="H219" i="30"/>
  <c r="H139" i="30"/>
  <c r="H137" i="30"/>
  <c r="H199" i="30"/>
  <c r="H15" i="30"/>
  <c r="H179" i="30"/>
  <c r="H155" i="30"/>
  <c r="F32" i="30"/>
  <c r="G32" i="30"/>
  <c r="E32" i="30"/>
  <c r="I32" i="30"/>
  <c r="D38" i="30"/>
  <c r="H177" i="30"/>
  <c r="N10" i="2"/>
  <c r="B18" i="9" s="1"/>
  <c r="C12" i="30"/>
  <c r="D140" i="30"/>
  <c r="E134" i="30"/>
  <c r="I134" i="30"/>
  <c r="I140" i="30" s="1"/>
  <c r="F134" i="30"/>
  <c r="F140" i="30" s="1"/>
  <c r="G134" i="30"/>
  <c r="G140" i="30" s="1"/>
  <c r="H17" i="30"/>
  <c r="H135" i="30"/>
  <c r="H35" i="30"/>
  <c r="H33" i="30"/>
  <c r="H116" i="30"/>
  <c r="H75" i="30"/>
  <c r="H98" i="30"/>
  <c r="E93" i="30"/>
  <c r="F93" i="30"/>
  <c r="F99" i="30" s="1"/>
  <c r="G93" i="30"/>
  <c r="G99" i="30" s="1"/>
  <c r="I93" i="30"/>
  <c r="I99" i="30" s="1"/>
  <c r="D99" i="30"/>
  <c r="N9" i="2"/>
  <c r="B17" i="9" s="1"/>
  <c r="AA77" i="13" s="1"/>
  <c r="AA78" i="13" s="1"/>
  <c r="B12" i="30"/>
  <c r="I174" i="30"/>
  <c r="I180" i="30" s="1"/>
  <c r="D180" i="30"/>
  <c r="E174" i="30"/>
  <c r="G174" i="30"/>
  <c r="G180" i="30" s="1"/>
  <c r="F174" i="30"/>
  <c r="F180" i="30" s="1"/>
  <c r="D78" i="30"/>
  <c r="E72" i="30"/>
  <c r="F72" i="30"/>
  <c r="F78" i="30" s="1"/>
  <c r="G72" i="30"/>
  <c r="G78" i="30" s="1"/>
  <c r="I72" i="30"/>
  <c r="H73" i="30"/>
  <c r="H94" i="30"/>
  <c r="I113" i="30"/>
  <c r="I119" i="30" s="1"/>
  <c r="G113" i="30"/>
  <c r="G119" i="30" s="1"/>
  <c r="D119" i="30"/>
  <c r="F113" i="30"/>
  <c r="F119" i="30" s="1"/>
  <c r="E113" i="30"/>
  <c r="H159" i="30"/>
  <c r="H118" i="30"/>
  <c r="H157" i="30"/>
  <c r="H77" i="30"/>
  <c r="I52" i="30"/>
  <c r="I58" i="30" s="1"/>
  <c r="G52" i="30"/>
  <c r="G58" i="30" s="1"/>
  <c r="D58" i="30"/>
  <c r="F52" i="30"/>
  <c r="F58" i="30" s="1"/>
  <c r="E52" i="30"/>
  <c r="I78" i="30"/>
  <c r="E154" i="30"/>
  <c r="F154" i="30"/>
  <c r="F160" i="30" s="1"/>
  <c r="G154" i="30"/>
  <c r="G160" i="30" s="1"/>
  <c r="I154" i="30"/>
  <c r="I160" i="30" s="1"/>
  <c r="D160" i="30"/>
  <c r="E194" i="30"/>
  <c r="I194" i="30"/>
  <c r="F194" i="30"/>
  <c r="G194" i="30"/>
  <c r="K27" i="2"/>
  <c r="B195" i="30"/>
  <c r="H57" i="30"/>
  <c r="H96" i="30"/>
  <c r="H114" i="30"/>
  <c r="H53" i="30"/>
  <c r="E37" i="30"/>
  <c r="F37" i="30"/>
  <c r="F38" i="30" s="1"/>
  <c r="I37" i="30"/>
  <c r="I38" i="30" s="1"/>
  <c r="G37" i="30"/>
  <c r="H13" i="30"/>
  <c r="H237" i="30"/>
  <c r="E239" i="30"/>
  <c r="G239" i="30"/>
  <c r="I239" i="30"/>
  <c r="F239" i="30"/>
  <c r="D259" i="30"/>
  <c r="E234" i="30"/>
  <c r="F234" i="30"/>
  <c r="G234" i="30"/>
  <c r="I234" i="30"/>
  <c r="D240" i="30"/>
  <c r="E217" i="30"/>
  <c r="G217" i="30"/>
  <c r="F217" i="30"/>
  <c r="I217" i="30"/>
  <c r="D257" i="30"/>
  <c r="I214" i="30"/>
  <c r="F214" i="30"/>
  <c r="G214" i="30"/>
  <c r="E214" i="30"/>
  <c r="I215" i="30"/>
  <c r="E215" i="30"/>
  <c r="G215" i="30"/>
  <c r="D220" i="30"/>
  <c r="F215" i="30"/>
  <c r="B51" i="9"/>
  <c r="B48" i="9"/>
  <c r="G62" i="2"/>
  <c r="B57" i="9"/>
  <c r="N31" i="2"/>
  <c r="B22" i="9"/>
  <c r="N8" i="2"/>
  <c r="B47" i="9"/>
  <c r="B20" i="9"/>
  <c r="O68" i="6"/>
  <c r="O108" i="11"/>
  <c r="B27" i="2"/>
  <c r="B39" i="9"/>
  <c r="F62" i="2"/>
  <c r="N30" i="2"/>
  <c r="B19" i="9"/>
  <c r="F25" i="14"/>
  <c r="H194" i="30" l="1"/>
  <c r="E140" i="30"/>
  <c r="H134" i="30"/>
  <c r="H140" i="30" s="1"/>
  <c r="C18" i="30"/>
  <c r="C254" i="30"/>
  <c r="C260" i="30" s="1"/>
  <c r="H37" i="30"/>
  <c r="E160" i="30"/>
  <c r="H154" i="30"/>
  <c r="H160" i="30" s="1"/>
  <c r="E58" i="30"/>
  <c r="H52" i="30"/>
  <c r="H58" i="30" s="1"/>
  <c r="H93" i="30"/>
  <c r="E99" i="30"/>
  <c r="H99" i="30"/>
  <c r="E180" i="30"/>
  <c r="H174" i="30"/>
  <c r="H180" i="30" s="1"/>
  <c r="H113" i="30"/>
  <c r="H119" i="30" s="1"/>
  <c r="E119" i="30"/>
  <c r="D12" i="30"/>
  <c r="B18" i="30"/>
  <c r="B254" i="30"/>
  <c r="E38" i="30"/>
  <c r="H32" i="30"/>
  <c r="D195" i="30"/>
  <c r="B200" i="30"/>
  <c r="B255" i="30"/>
  <c r="H72" i="30"/>
  <c r="H78" i="30" s="1"/>
  <c r="E78" i="30"/>
  <c r="G38" i="30"/>
  <c r="E220" i="30"/>
  <c r="F259" i="30"/>
  <c r="G259" i="30"/>
  <c r="E259" i="30"/>
  <c r="I259" i="30"/>
  <c r="H239" i="30"/>
  <c r="I240" i="30"/>
  <c r="G240" i="30"/>
  <c r="F240" i="30"/>
  <c r="H234" i="30"/>
  <c r="E240" i="30"/>
  <c r="F257" i="30"/>
  <c r="G257" i="30"/>
  <c r="E257" i="30"/>
  <c r="I257" i="30"/>
  <c r="F220" i="30"/>
  <c r="H217" i="30"/>
  <c r="I220" i="30"/>
  <c r="H214" i="30"/>
  <c r="N27" i="2"/>
  <c r="D262" i="30"/>
  <c r="H215" i="30"/>
  <c r="G220" i="30"/>
  <c r="B38" i="9"/>
  <c r="B16" i="9"/>
  <c r="B37" i="9"/>
  <c r="N62" i="2"/>
  <c r="F195" i="30" l="1"/>
  <c r="F200" i="30" s="1"/>
  <c r="G195" i="30"/>
  <c r="G200" i="30" s="1"/>
  <c r="I195" i="30"/>
  <c r="I200" i="30" s="1"/>
  <c r="E195" i="30"/>
  <c r="D200" i="30"/>
  <c r="D255" i="30"/>
  <c r="B260" i="30"/>
  <c r="H38" i="30"/>
  <c r="E12" i="30"/>
  <c r="F12" i="30"/>
  <c r="F18" i="30" s="1"/>
  <c r="I12" i="30"/>
  <c r="I18" i="30" s="1"/>
  <c r="G12" i="30"/>
  <c r="G18" i="30" s="1"/>
  <c r="D18" i="30"/>
  <c r="D254" i="30"/>
  <c r="H259" i="30"/>
  <c r="H240" i="30"/>
  <c r="H220" i="30"/>
  <c r="H257" i="30"/>
  <c r="B33" i="9"/>
  <c r="B69" i="9"/>
  <c r="D260" i="30" l="1"/>
  <c r="I254" i="30"/>
  <c r="F254" i="30"/>
  <c r="G254" i="30"/>
  <c r="E254" i="30"/>
  <c r="E18" i="30"/>
  <c r="H12" i="30"/>
  <c r="H18" i="30" s="1"/>
  <c r="I255" i="30"/>
  <c r="E255" i="30"/>
  <c r="G255" i="30"/>
  <c r="F255" i="30"/>
  <c r="H195" i="30"/>
  <c r="H200" i="30" s="1"/>
  <c r="E200" i="30"/>
  <c r="B71" i="9"/>
  <c r="H255" i="30" l="1"/>
  <c r="H254" i="30"/>
  <c r="E260" i="30"/>
  <c r="G260" i="30"/>
  <c r="F260" i="30"/>
  <c r="I260" i="30"/>
  <c r="M17" i="14"/>
  <c r="M25" i="14" s="1"/>
  <c r="M26" i="14" s="1"/>
  <c r="B77" i="9" s="1"/>
  <c r="K96" i="9" s="1"/>
  <c r="L25" i="14"/>
  <c r="L26" i="14" s="1"/>
  <c r="B75" i="9" s="1"/>
  <c r="H260" i="30" l="1"/>
  <c r="B78" i="9"/>
  <c r="B64" i="2"/>
  <c r="B66" i="2"/>
  <c r="B67" i="2" l="1"/>
</calcChain>
</file>

<file path=xl/comments1.xml><?xml version="1.0" encoding="utf-8"?>
<comments xmlns="http://schemas.openxmlformats.org/spreadsheetml/2006/main">
  <authors>
    <author>Author</author>
  </authors>
  <commentList>
    <comment ref="L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afutu harvest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N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caroll - 703
adult -532
Sunday school - 135.4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225 bags of cement</t>
        </r>
      </text>
    </comment>
    <comment ref="E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cement 100 bags</t>
        </r>
      </text>
    </comment>
    <comment ref="N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ORGANIST SALARY SUPPORT FOR 1 YEAR NYARKOH</t>
        </r>
      </text>
    </comment>
    <comment ref="M5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Salary Advance for rent for a year paid by patrick</t>
        </r>
      </text>
    </comment>
    <comment ref="N5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salary support Gyabaah nov</t>
        </r>
      </text>
    </comment>
    <comment ref="N5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AMA - 1,000
Justina - 1,000
patrick - 1,500
Xmas refreshment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poor fund -584
synod -432</t>
        </r>
      </text>
    </comment>
    <comment ref="I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WBL</t>
        </r>
      </text>
    </comment>
    <comment ref="J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wbl</t>
        </r>
      </text>
    </comment>
    <comment ref="E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camp meeting</t>
        </r>
      </text>
    </comment>
    <comment ref="G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trinity sunday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 -50
stella essel- 50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 - 50
dominic -50</t>
        </r>
      </text>
    </comment>
    <comment ref="E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 -400
MANSE - 200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Preacher Jacob Banafoe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ORGANIST- 400
MANSE- 200
PREACHER-50</t>
        </r>
      </text>
    </comment>
    <comment ref="H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 FRED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Rev. benjamin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sept manse</t>
        </r>
      </text>
    </comment>
    <comment ref="M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REV. ANAMAN ALL SAINTS DAY</t>
        </r>
      </text>
    </comment>
    <comment ref="N1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rev anaman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 Jacob Bnafoe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kofi gyasi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 Benjamin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 ben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 benjamin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June Manse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jul manse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 Benjamin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GHS 100 Dominic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V. REV ANAMAN COMMUNION SERVICE</t>
        </r>
      </text>
    </comment>
    <comment ref="N1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rev ben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Preacher dominic
manse - 20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V.REV GEORGE TAGOE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 klutse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rev. Ato Dadson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EVG MANU</t>
        </r>
      </text>
    </comment>
    <comment ref="J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aug manse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 Jacob-150</t>
        </r>
      </text>
    </comment>
    <comment ref="L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REV. ANAMAN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Rev. Anaman</t>
        </r>
      </text>
    </comment>
    <comment ref="N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 rev Anaman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 fred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 mar 24
manse mar 200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lazum -100
rev. dorcas 100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 MANSE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 organist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SUPER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Rev. Appau gyekie
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Organist - 400 fred
Preacher -50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HONARARIUM BLESSING OFORI COLLINS
REV. BEN -100
V.REV ANAMAN 100</t>
        </r>
      </text>
    </comment>
    <comment ref="M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V.REV Kwadwo adjei</t>
        </r>
      </text>
    </comment>
    <comment ref="N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V.Rev Anaman Carol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BISHOP VISIT ( CIRCUIT)- 1000
SOCIETY-2000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 ORGANIST</t>
        </r>
      </text>
    </comment>
    <comment ref="L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BRO DOMINIC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covenant service satelite</t>
        </r>
      </text>
    </comment>
    <comment ref="F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NAD SYNOD CONTRIBUTION
REG- 480
T&amp;T -420</t>
        </r>
      </text>
    </comment>
    <comment ref="G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MARINA FUNERAL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 BEN MUCG COURSE &amp; SYMPOSIUM FOR JHS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 Bismark wife funeral</t>
        </r>
      </text>
    </comment>
    <comment ref="E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DONATION TO DISABLE</t>
        </r>
      </text>
    </comment>
    <comment ref="G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items for health creening on mothers day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MARINA FUNERAL DONATION
</t>
        </r>
      </text>
    </comment>
    <comment ref="J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lydia nii boi-200
angela -100</t>
        </r>
      </text>
    </comment>
    <comment ref="K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Angela Anu</t>
        </r>
      </text>
    </comment>
    <comment ref="L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BRO COLLINS</t>
        </r>
      </text>
    </comment>
    <comment ref="M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Medical for visitor-GHS 1,000
Felix Wedding - GHS 200</t>
        </r>
      </text>
    </comment>
    <comment ref="N2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organist father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sectional picnic </t>
        </r>
      </text>
    </comment>
    <comment ref="M2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MICHELL GARSON FATHER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purchase of chairs 40</t>
        </r>
      </text>
    </comment>
    <comment ref="M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CLEGY CHAIRS- 5,400
PULPIT -3,500
OTHERS - 10,767.5</t>
        </r>
      </text>
    </comment>
    <comment ref="N34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sliding windows</t>
        </r>
      </text>
    </comment>
    <comment ref="F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Fan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CARPET FOR DRUMS-250
EXTENSION BOARDS- 900
Drum set- 3500
</t>
        </r>
      </text>
    </comment>
    <comment ref="N3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extension</t>
        </r>
      </text>
    </comment>
    <comment ref="M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MDF APPEAL</t>
        </r>
      </text>
    </comment>
    <comment ref="D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childrens week 25%
10% to circuit </t>
        </r>
      </text>
    </comment>
    <comment ref="E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CAMP MEETING</t>
        </r>
      </text>
    </comment>
    <comment ref="G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trinity sunday</t>
        </r>
      </text>
    </comment>
    <comment ref="K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Rev. Bwuah -500
evg. Felix - 300
memp. 200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wbl 16 pcs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Sunday sch syllabus&amp; lent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constitution- 100
tonic solfa - 4 1,000
</t>
        </r>
      </text>
    </comment>
    <comment ref="F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communion wine and waffer</t>
        </r>
      </text>
    </comment>
    <comment ref="I4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WBL -GHS 460
TITHE CARDS - 40</t>
        </r>
      </text>
    </comment>
    <comment ref="I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PURCHASE OF ECG</t>
        </r>
      </text>
    </comment>
    <comment ref="N4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Pat 1,200 advance for salary due to cheque not being presented.</t>
        </r>
      </text>
    </comment>
    <comment ref="N5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V.REV - 1,500 oct to dec all
xmas Rev Anaman- 1,000
xmas Rev. Ben 1,000</t>
        </r>
      </text>
    </comment>
    <comment ref="E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pillar for land</t>
        </r>
      </text>
    </comment>
    <comment ref="L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Adv. Land GHS 40,000
Sight Plan indenture GHS 6,000</t>
        </r>
      </text>
    </comment>
    <comment ref="N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final payment of land</t>
        </r>
      </text>
    </comment>
    <comment ref="E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pillar cement
ecg meter 3 phase- 2400
energy com- 400
protocol - 200
</t>
        </r>
      </text>
    </comment>
    <comment ref="H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WINDOW AND DOORS-32,500
BAL OF FLOW 10,540</t>
        </r>
      </text>
    </comment>
    <comment ref="F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STAIRS FOR CHAPEL, PARKING OF FLOW WOOD AT THE TOP AND RUBBER TO COVER</t>
        </r>
      </text>
    </comment>
    <comment ref="H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ERECTION OF ECG POLE</t>
        </r>
      </text>
    </comment>
    <comment ref="J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spraying of church</t>
        </r>
      </text>
    </comment>
    <comment ref="L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BATTERIES FOR MIC</t>
        </r>
      </text>
    </comment>
    <comment ref="I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WOMEN FELLOWSHIP-2610
TITHE 1600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feb &amp; mar 22</t>
        </r>
      </text>
    </comment>
  </commentList>
</comments>
</file>

<file path=xl/sharedStrings.xml><?xml version="1.0" encoding="utf-8"?>
<sst xmlns="http://schemas.openxmlformats.org/spreadsheetml/2006/main" count="1314" uniqueCount="488">
  <si>
    <t>ASSOCIATION OF METHODIST MENS FELLOWSHIP</t>
  </si>
  <si>
    <t>KOFORIDUA DIOCESE</t>
  </si>
  <si>
    <t>WESLEY  SOCIETY NSAWAM</t>
  </si>
  <si>
    <t>RECEIPTS</t>
  </si>
  <si>
    <t>GHC</t>
  </si>
  <si>
    <t>BALANCE b/f</t>
  </si>
  <si>
    <t>WELFARE</t>
  </si>
  <si>
    <t>PAYMENT</t>
  </si>
  <si>
    <t>DONATIONS</t>
  </si>
  <si>
    <t>T&amp;T</t>
  </si>
  <si>
    <t>CASH ON HAND</t>
  </si>
  <si>
    <t>FOOT NOTE:</t>
  </si>
  <si>
    <t>WELFARE:</t>
  </si>
  <si>
    <t>NAMING CEREMONY</t>
  </si>
  <si>
    <t>SICK BENEFIT</t>
  </si>
  <si>
    <t>VISITATION</t>
  </si>
  <si>
    <t>HARVEST INVITATION</t>
  </si>
  <si>
    <t>INVITATIONS (ORG ANNIVERSARIES AND OTHERS)</t>
  </si>
  <si>
    <t>FUNERAL BENEFIT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</si>
  <si>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</si>
  <si>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</si>
  <si>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</si>
  <si>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</si>
  <si>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</si>
  <si>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</si>
  <si>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</si>
  <si>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</si>
  <si>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</si>
  <si>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</si>
  <si>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</si>
  <si>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</si>
  <si>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TOTAL</t>
  </si>
  <si>
    <t>MEMBERS DUES CONTRIBUTIONS</t>
  </si>
  <si>
    <t>S/N</t>
  </si>
  <si>
    <t>NAME</t>
  </si>
  <si>
    <t>EXCESS OF RECEIPTS   OVER EXPENDITURE</t>
  </si>
  <si>
    <t>OTHER DONATIONS (GIRLS FELLOWSHIP)</t>
  </si>
  <si>
    <t>DRAFT</t>
  </si>
  <si>
    <t>DIOCESAN APPEAL</t>
  </si>
  <si>
    <t>EXPECTED CONTRIBUTION</t>
  </si>
  <si>
    <t>DIFF</t>
  </si>
  <si>
    <t>KENNEDY DUODU ACQUAH</t>
  </si>
  <si>
    <t>STEPHEN OBENG ADJEI</t>
  </si>
  <si>
    <t>JOSEPH AMIHERE</t>
  </si>
  <si>
    <t>BENJAMIN ATEIMO</t>
  </si>
  <si>
    <t>DANIEL ASHEROW</t>
  </si>
  <si>
    <t>ROCKSON-WOOPE THOMAS</t>
  </si>
  <si>
    <t>ERIC ODURO AMPAABENG</t>
  </si>
  <si>
    <t>PETER L.Y.N GBORDJOR</t>
  </si>
  <si>
    <t>MICHAEL OKATA</t>
  </si>
  <si>
    <t>SAMUEL BOSOMPEM</t>
  </si>
  <si>
    <t>PATRICK NYARKOH</t>
  </si>
  <si>
    <t>DANIEL T NARTEY</t>
  </si>
  <si>
    <t>AGYEMANG BOAKYE</t>
  </si>
  <si>
    <t>S.D.OWIAFE</t>
  </si>
  <si>
    <t>SAMUEL NICHOLAS OSEI</t>
  </si>
  <si>
    <t>PRINCE HENRY AIDOO</t>
  </si>
  <si>
    <t>VINCENT ADAMS</t>
  </si>
  <si>
    <t>STEPHEN ODURO</t>
  </si>
  <si>
    <t>E.J. ARYEETEY</t>
  </si>
  <si>
    <t>ALEX WILLIAMS</t>
  </si>
  <si>
    <t>J.B ESHUN</t>
  </si>
  <si>
    <t>NANA KWAKYE ABROKWA</t>
  </si>
  <si>
    <t>EMMANUEL MANTEY</t>
  </si>
  <si>
    <t>EMMANUEL AMANKWAH</t>
  </si>
  <si>
    <t>ENOCH SARQUAH</t>
  </si>
  <si>
    <t>GILBERT JERRY AMOAH</t>
  </si>
  <si>
    <t>EMMANUEL AMHED OSAFO</t>
  </si>
  <si>
    <t>JOSHUA TETTEY DAWUTEY</t>
  </si>
  <si>
    <t>KWESI PREMPEH</t>
  </si>
  <si>
    <t>ROBERT OFOSU AGYEMANG</t>
  </si>
  <si>
    <t>OSCAR DAPAAH</t>
  </si>
  <si>
    <t>ANDREWS ADUFUL</t>
  </si>
  <si>
    <t>SYDNEY SIAW WILLIAMS</t>
  </si>
  <si>
    <t>K.A BEDIAKO</t>
  </si>
  <si>
    <t>LEONARD PLANG</t>
  </si>
  <si>
    <t>KOFI ABROKWA</t>
  </si>
  <si>
    <t>FRANCIS OHENE KWAME</t>
  </si>
  <si>
    <t>AUGUSTUS BLANKSON</t>
  </si>
  <si>
    <t>JOHN OTENG AGYARKO</t>
  </si>
  <si>
    <t>A.M.QUINOO</t>
  </si>
  <si>
    <t>E.B.ASARE</t>
  </si>
  <si>
    <t>ASARE MARFO</t>
  </si>
  <si>
    <t>JUSTICE ADDO</t>
  </si>
  <si>
    <t>EMMANUEL AYESU</t>
  </si>
  <si>
    <t>DANIEL AFAGBEDZI</t>
  </si>
  <si>
    <t>ARHINFUL DONKOR</t>
  </si>
  <si>
    <t>J.K AFFUL</t>
  </si>
  <si>
    <t>KRAMPAH FORSON</t>
  </si>
  <si>
    <t>EDWARD ACQUAH</t>
  </si>
  <si>
    <t>KWAME BOADI</t>
  </si>
  <si>
    <t>EBENEZER DADZIE</t>
  </si>
  <si>
    <t>J.D. TETTEH</t>
  </si>
  <si>
    <t>JOSEPH ACQUAH</t>
  </si>
  <si>
    <t>GEORGE OWUSU AYEH</t>
  </si>
  <si>
    <t>ASSAH OFORI</t>
  </si>
  <si>
    <t>SAMUEL EDONU</t>
  </si>
  <si>
    <t>S.K. OSEI</t>
  </si>
  <si>
    <t>ERNEST ATAFUAH</t>
  </si>
  <si>
    <t>PAA KWESI DONTWI</t>
  </si>
  <si>
    <t>D.Y.THOMSON</t>
  </si>
  <si>
    <t>GODFRED AHINKORA</t>
  </si>
  <si>
    <t>RICHARD ANKRAH</t>
  </si>
  <si>
    <t>ASAMOAH OBENG NYARKOH</t>
  </si>
  <si>
    <t>ALFRED ADJEI</t>
  </si>
  <si>
    <t>GEORGE OFFEI GHARTEY</t>
  </si>
  <si>
    <t>KURTIS OSAFO SARKODIE</t>
  </si>
  <si>
    <t>HARVEST</t>
  </si>
  <si>
    <t>PETER ASARE</t>
  </si>
  <si>
    <t>BANK CHARGES</t>
  </si>
  <si>
    <t>TOTAL RECEIPTS</t>
  </si>
  <si>
    <t>TOTAL PAYMENTS</t>
  </si>
  <si>
    <t>FINANCIAL STATEMENTS</t>
  </si>
  <si>
    <t>GHS</t>
  </si>
  <si>
    <t>EXPENDITURE</t>
  </si>
  <si>
    <t>DATE</t>
  </si>
  <si>
    <t>DETAILS</t>
  </si>
  <si>
    <t>FOLIO</t>
  </si>
  <si>
    <t>CASH</t>
  </si>
  <si>
    <t>Bal B/F</t>
  </si>
  <si>
    <t>CLOSING BALANCE</t>
  </si>
  <si>
    <t>CASHBOOK</t>
  </si>
  <si>
    <t>OCTOBER</t>
  </si>
  <si>
    <t>NOVEMBER</t>
  </si>
  <si>
    <t>MARCH</t>
  </si>
  <si>
    <t>APRIL</t>
  </si>
  <si>
    <t>AUGUST</t>
  </si>
  <si>
    <t>SEPTEMBER</t>
  </si>
  <si>
    <t>DECEMBER</t>
  </si>
  <si>
    <t>JANUARY</t>
  </si>
  <si>
    <t>FEBRUARY</t>
  </si>
  <si>
    <t>SETH ASARE</t>
  </si>
  <si>
    <t>AMOUNT</t>
  </si>
  <si>
    <t>PURPOSE</t>
  </si>
  <si>
    <t>TRANSPORT</t>
  </si>
  <si>
    <t>PAYMENTS</t>
  </si>
  <si>
    <t>THE METHODIST CHURCH GHANA</t>
  </si>
  <si>
    <t>ACCRA NORTH DIOCESE</t>
  </si>
  <si>
    <t>GA SUB-URBAN CIRCUIT</t>
  </si>
  <si>
    <t>JUN</t>
  </si>
  <si>
    <t>JUL</t>
  </si>
  <si>
    <t>OFFERING</t>
  </si>
  <si>
    <t>WEEK DAY OFFERING</t>
  </si>
  <si>
    <t>THANKS OFFERING</t>
  </si>
  <si>
    <t>TITHE</t>
  </si>
  <si>
    <t>SPECIAL OFFERING</t>
  </si>
  <si>
    <t>MDF AWARENESS</t>
  </si>
  <si>
    <t>CIRCUIT HARVEST</t>
  </si>
  <si>
    <t>LAY MOVEMENT OFFERING</t>
  </si>
  <si>
    <t>SPECIAL FUND RAISING FOR INSTRUMENTS</t>
  </si>
  <si>
    <t>WEEKDAY ACTIVITY</t>
  </si>
  <si>
    <t>SPECIAL APPEAL</t>
  </si>
  <si>
    <t>HONARARIUM TO PREACHERS</t>
  </si>
  <si>
    <t>T&amp;T TO CIRCUIT &amp; SESSIONAL EVENTS</t>
  </si>
  <si>
    <t>PURCHASE OF FURNITURE</t>
  </si>
  <si>
    <t>PURCHASE OF INSTRUMENTS</t>
  </si>
  <si>
    <t>PURCHASE OF LAND</t>
  </si>
  <si>
    <t>PAYMENT OF LAYMOVEMENT FUNDS</t>
  </si>
  <si>
    <t>PAYMENT OF CIRCUIT HARVEST</t>
  </si>
  <si>
    <t xml:space="preserve">DONATION </t>
  </si>
  <si>
    <t>MINISTERS APPRECIATION</t>
  </si>
  <si>
    <t>HARVEST- PROJECT</t>
  </si>
  <si>
    <t>HARVEST ENVELOPE PRINTING</t>
  </si>
  <si>
    <t>HARVEST BANNER</t>
  </si>
  <si>
    <t>REFRESHMENT</t>
  </si>
  <si>
    <t>FILLING</t>
  </si>
  <si>
    <t>FURNITURE</t>
  </si>
  <si>
    <t>INSTRUMENTS</t>
  </si>
  <si>
    <t>MDF</t>
  </si>
  <si>
    <t>LAYMOVEMENT</t>
  </si>
  <si>
    <t>LAND</t>
  </si>
  <si>
    <t>HARVEST ENVELOPES</t>
  </si>
  <si>
    <t>BANNER</t>
  </si>
  <si>
    <t>PURCHASE OF METHODIST STATIONARY</t>
  </si>
  <si>
    <t>STEWARD………………………………..</t>
  </si>
  <si>
    <t>WK 1</t>
  </si>
  <si>
    <t>WK 2</t>
  </si>
  <si>
    <t>WK 3</t>
  </si>
  <si>
    <t>WK 4</t>
  </si>
  <si>
    <t>WK 5</t>
  </si>
  <si>
    <t>WEDNESDAY</t>
  </si>
  <si>
    <t>FRIDAY</t>
  </si>
  <si>
    <t>AUTONOMY SUNDAY</t>
  </si>
  <si>
    <t>AUTONOMY</t>
  </si>
  <si>
    <t>GA RURAL  BANK CURRENT</t>
  </si>
  <si>
    <t>MISCELLANEOUS</t>
  </si>
  <si>
    <t>GA RURAL BANK</t>
  </si>
  <si>
    <t>DORIS NYARKOH</t>
  </si>
  <si>
    <t>JUSTINA DADZIE</t>
  </si>
  <si>
    <t>DORIS MARFO</t>
  </si>
  <si>
    <t>GLORIA ASARE</t>
  </si>
  <si>
    <t>CHARLES FRIMPONG</t>
  </si>
  <si>
    <t>JOSEPH ANINNG</t>
  </si>
  <si>
    <t>MABEL MANUFIE</t>
  </si>
  <si>
    <t>FELIX YAMOAH</t>
  </si>
  <si>
    <t>EDWARD QUARNOR</t>
  </si>
  <si>
    <t>JOANA WADDIE</t>
  </si>
  <si>
    <t>RUTH AMANKWAAH</t>
  </si>
  <si>
    <t>EMMANUEL ASADU</t>
  </si>
  <si>
    <t>COLLINS OFORI</t>
  </si>
  <si>
    <t>FRANCIS ASARE</t>
  </si>
  <si>
    <t>HEBRON METHODIST</t>
  </si>
  <si>
    <t>RECEIPT NO.</t>
  </si>
  <si>
    <t>ESTHER ASARE</t>
  </si>
  <si>
    <t>2022</t>
  </si>
  <si>
    <t>GOLDA KAMMASSAH</t>
  </si>
  <si>
    <t>NADMO</t>
  </si>
  <si>
    <t>ERICA DONKOR</t>
  </si>
  <si>
    <t>PURCHASE OF SPEAKER</t>
  </si>
  <si>
    <t>WATCHNIGHT SERVICE</t>
  </si>
  <si>
    <t>CONVENANT SUNDAY</t>
  </si>
  <si>
    <t>OTHERS/NORTHERN GHANA</t>
  </si>
  <si>
    <t>ALFRED OKYERE</t>
  </si>
  <si>
    <t>VICTORIA ELLA LAWSON</t>
  </si>
  <si>
    <t>FILLING OF LAND</t>
  </si>
  <si>
    <t>SALOMEY OKYERE</t>
  </si>
  <si>
    <t>KATE ANKRAH</t>
  </si>
  <si>
    <t>PAYMENT OF MDF/SPECIAL APPEAL</t>
  </si>
  <si>
    <t>BISHOP</t>
  </si>
  <si>
    <t>JOHN BUYAN KAMASSAH</t>
  </si>
  <si>
    <t>BARCODE SITE PLAN- SURVEYOR</t>
  </si>
  <si>
    <t>COMMUNION ELEMENT</t>
  </si>
  <si>
    <t>LENT BOOK</t>
  </si>
  <si>
    <t>LAND WEEDING</t>
  </si>
  <si>
    <t>GA RURAL</t>
  </si>
  <si>
    <t>PURCHASE OF 20 PLASTIC CHAIRS</t>
  </si>
  <si>
    <t>15 TRIPS FOR LAND FILLING</t>
  </si>
  <si>
    <t>HARVEST SOUVINIRS</t>
  </si>
  <si>
    <t>TRINITY METHODIST CHURCH</t>
  </si>
  <si>
    <t>FIXED ASSETS REGISTER</t>
  </si>
  <si>
    <t>QTY</t>
  </si>
  <si>
    <t>VALUE</t>
  </si>
  <si>
    <t>REMARKS</t>
  </si>
  <si>
    <t>CANOPY</t>
  </si>
  <si>
    <t>DONATED</t>
  </si>
  <si>
    <t>PLASTIC CHAIRS</t>
  </si>
  <si>
    <t>CHURCH</t>
  </si>
  <si>
    <t>KONKA</t>
  </si>
  <si>
    <t>TAMBOURINES</t>
  </si>
  <si>
    <t xml:space="preserve">SPEAKER </t>
  </si>
  <si>
    <t>CORDLESS MIC</t>
  </si>
  <si>
    <t>CORDED MIC</t>
  </si>
  <si>
    <t>TABLE</t>
  </si>
  <si>
    <t>PULPIT</t>
  </si>
  <si>
    <t>OFFERING BOWL</t>
  </si>
  <si>
    <t>ETHEL AMENU</t>
  </si>
  <si>
    <t>KOFI AZASU</t>
  </si>
  <si>
    <t>DOMINIC ANAKWA</t>
  </si>
  <si>
    <t>JACOB KWESI MENSAH</t>
  </si>
  <si>
    <t>HARVEST &amp; ANNIVERSARY EXPENDITURE</t>
  </si>
  <si>
    <t>WATER</t>
  </si>
  <si>
    <t>VICTORIA OPOKU</t>
  </si>
  <si>
    <t>AMA TUTUA</t>
  </si>
  <si>
    <t>DANIEL BINAMBE</t>
  </si>
  <si>
    <t>MACHELLE YAMOAH</t>
  </si>
  <si>
    <t>PHILOMINA AGYEKUM</t>
  </si>
  <si>
    <t>CELESTINE OSEI</t>
  </si>
  <si>
    <t xml:space="preserve">MDF &amp; SPECIAL OFFERING </t>
  </si>
  <si>
    <t>2PLOTS</t>
  </si>
  <si>
    <t>KEYBOARD</t>
  </si>
  <si>
    <t>(BRO. PETER ASARE)</t>
  </si>
  <si>
    <t>HEBRON  SOCIETY</t>
  </si>
  <si>
    <t>2023</t>
  </si>
  <si>
    <t>REPUBLIC BANK</t>
  </si>
  <si>
    <t>VIVIAN ASARE</t>
  </si>
  <si>
    <t>BUILDING PROJECT</t>
  </si>
  <si>
    <t>REPUBLIC</t>
  </si>
  <si>
    <t>PRINCE YAW OKYERE</t>
  </si>
  <si>
    <t>PHILIP OPOKU</t>
  </si>
  <si>
    <t>NO NAME</t>
  </si>
  <si>
    <t>EVA COMMODORE</t>
  </si>
  <si>
    <t>JULIANA ASADU</t>
  </si>
  <si>
    <t>VIDA BOATENG</t>
  </si>
  <si>
    <t>MILLICENT ANAKWA AGYEMENG</t>
  </si>
  <si>
    <t>DIOCESAN APPEAL(CHILD WEEK)</t>
  </si>
  <si>
    <t>PROJECT ACCOUNT</t>
  </si>
  <si>
    <t>FOUNDATION COST</t>
  </si>
  <si>
    <t>ADVAVCE PAYMENT TO CONTRACTOR</t>
  </si>
  <si>
    <t>FIRST PAYMENT</t>
  </si>
  <si>
    <t>SECOND PAYMENT</t>
  </si>
  <si>
    <t>THIRD PAYMENT</t>
  </si>
  <si>
    <t>15 TRIPS OF SAND</t>
  </si>
  <si>
    <t>1 TRIP BIG SAND</t>
  </si>
  <si>
    <t>TOTAL SPENT CONTRACTOR</t>
  </si>
  <si>
    <t>TOTAL SPENT CHURCH</t>
  </si>
  <si>
    <t>church</t>
  </si>
  <si>
    <t>contactor through advance from church</t>
  </si>
  <si>
    <t>balance to complete foundation</t>
  </si>
  <si>
    <t>variation</t>
  </si>
  <si>
    <t>TOTAL CHEQUES ISSUED</t>
  </si>
  <si>
    <t>10 Additional Trips of  Sand@700</t>
  </si>
  <si>
    <t>Payloader for the road sand</t>
  </si>
  <si>
    <t>100 BAGS OF CEMENT DONATION</t>
  </si>
  <si>
    <t>CEMENT</t>
  </si>
  <si>
    <t>SAND</t>
  </si>
  <si>
    <t>STONE</t>
  </si>
  <si>
    <t>CONCRETE WORKS</t>
  </si>
  <si>
    <t>BALANCE OF LABOUR CARRIED OUT</t>
  </si>
  <si>
    <t>RATE</t>
  </si>
  <si>
    <t>RUBBER (DPM)</t>
  </si>
  <si>
    <t>CONCRETE MIXER RENTAL</t>
  </si>
  <si>
    <t>TOTAL COST OF WORK DONE TO DATE</t>
  </si>
  <si>
    <t>TOTAL FUNDS ADVANCED</t>
  </si>
  <si>
    <t xml:space="preserve">BACKHOLE RENTAL </t>
  </si>
  <si>
    <t>TOTAL FUNDS TO COMPLETE PHASE 1</t>
  </si>
  <si>
    <t>HEBRON METHODIST CHURCH</t>
  </si>
  <si>
    <t>ESTIMATE OF WORK TO BE DONE TO COMPLETE STAGE 1</t>
  </si>
  <si>
    <t>REBECCA QUARSHIE</t>
  </si>
  <si>
    <t>SURPLUS</t>
  </si>
  <si>
    <t>FUNDS AVAILABLE- 19-5-2023</t>
  </si>
  <si>
    <t>ACCUMULATED FUND</t>
  </si>
  <si>
    <t>ASSETS</t>
  </si>
  <si>
    <t>BANK &amp;CASH BALANCE</t>
  </si>
  <si>
    <t>BUILDING - W.I.P</t>
  </si>
  <si>
    <t>FUNDED BY</t>
  </si>
  <si>
    <t>2021</t>
  </si>
  <si>
    <t>EXTENDED TRIAL BALANCE</t>
  </si>
  <si>
    <t>DR</t>
  </si>
  <si>
    <t>CR</t>
  </si>
  <si>
    <t>OPENING BALANCES</t>
  </si>
  <si>
    <t>CURRENT ACTIVITY</t>
  </si>
  <si>
    <t>ADJUSTMENT</t>
  </si>
  <si>
    <t>CLOSING BALANCES</t>
  </si>
  <si>
    <t>Account Code</t>
  </si>
  <si>
    <t>Details</t>
  </si>
  <si>
    <t>Non-current assets</t>
  </si>
  <si>
    <t>00005</t>
  </si>
  <si>
    <t>Office Building</t>
  </si>
  <si>
    <t>00006</t>
  </si>
  <si>
    <t>Fixtures &amp; fittings</t>
  </si>
  <si>
    <t>00008</t>
  </si>
  <si>
    <t>Office equipment</t>
  </si>
  <si>
    <t>00009</t>
  </si>
  <si>
    <t>Computers &amp; accessories</t>
  </si>
  <si>
    <t>Accummulative Depreciation</t>
  </si>
  <si>
    <t>00018</t>
  </si>
  <si>
    <t>00019</t>
  </si>
  <si>
    <t>00020</t>
  </si>
  <si>
    <t>Intangible</t>
  </si>
  <si>
    <t>Account Receivables</t>
  </si>
  <si>
    <t>Cash &amp; Bank Equivalent</t>
  </si>
  <si>
    <t>Cash at bank</t>
  </si>
  <si>
    <t>Cash in hand</t>
  </si>
  <si>
    <t>Shareholders equity and liabilities</t>
  </si>
  <si>
    <t>Current liabilities</t>
  </si>
  <si>
    <t>Trade and other payables</t>
  </si>
  <si>
    <t>Overdraft</t>
  </si>
  <si>
    <t>Audit fees</t>
  </si>
  <si>
    <t>Accrual-Rent</t>
  </si>
  <si>
    <t>Accrual-PAYE</t>
  </si>
  <si>
    <t>Long term loan</t>
  </si>
  <si>
    <t>Stated capital</t>
  </si>
  <si>
    <t>Amount held toward capital</t>
  </si>
  <si>
    <t>Retained earnings</t>
  </si>
  <si>
    <t>Revenue</t>
  </si>
  <si>
    <t>Foods and drinks</t>
  </si>
  <si>
    <t>Cost of sale</t>
  </si>
  <si>
    <t>Cost of Ticket</t>
  </si>
  <si>
    <t>Communication expenses</t>
  </si>
  <si>
    <t>Depreciation</t>
  </si>
  <si>
    <t>Utilites</t>
  </si>
  <si>
    <t>Marketing costs</t>
  </si>
  <si>
    <t>Medical expenses/staff welfare</t>
  </si>
  <si>
    <t>Printing &amp; stationery</t>
  </si>
  <si>
    <t>Registration &amp; licencing</t>
  </si>
  <si>
    <t>Refreshment</t>
  </si>
  <si>
    <t>Security</t>
  </si>
  <si>
    <t>Licence Fees</t>
  </si>
  <si>
    <t>Fuel</t>
  </si>
  <si>
    <t>Rent</t>
  </si>
  <si>
    <t>Staff Cost</t>
  </si>
  <si>
    <t>Business promotion</t>
  </si>
  <si>
    <t>Taxation</t>
  </si>
  <si>
    <t>Bank Charges &amp; Interest</t>
  </si>
  <si>
    <t>00001</t>
  </si>
  <si>
    <t>00002</t>
  </si>
  <si>
    <t>00003</t>
  </si>
  <si>
    <t>00004</t>
  </si>
  <si>
    <t>00007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</si>
  <si>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</si>
  <si>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</si>
  <si>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</si>
  <si>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</si>
  <si>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</si>
  <si>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</si>
  <si>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</si>
  <si>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</si>
  <si>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00021</t>
  </si>
  <si>
    <t>00022</t>
  </si>
  <si>
    <t>00033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</si>
  <si>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</si>
  <si>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</si>
  <si>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</si>
  <si>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</si>
  <si>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</si>
  <si>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</si>
  <si>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</si>
  <si>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</si>
  <si>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</si>
  <si>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</si>
  <si>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</si>
  <si>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</si>
  <si>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</si>
  <si>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</si>
  <si>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</si>
  <si>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</si>
  <si>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</si>
  <si>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</si>
  <si>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ASANTEWA MARINA</t>
  </si>
  <si>
    <t>COMFORT BENABE</t>
  </si>
  <si>
    <t>UNKNOWN</t>
  </si>
  <si>
    <t>SAMUEL ASARE</t>
  </si>
  <si>
    <t>JEMIMA AFRIYIE ASAMOAH</t>
  </si>
  <si>
    <t>WESLEY TOWERS &amp; DONATION</t>
  </si>
  <si>
    <t>OBODIA ADJA</t>
  </si>
  <si>
    <t>MINISTER IN CHARGE …………………………………..</t>
  </si>
  <si>
    <t>2024</t>
  </si>
  <si>
    <t>SAMILIA ASANTE</t>
  </si>
  <si>
    <t>PHYLLIS NYARKO</t>
  </si>
  <si>
    <t>ANASTASIA ASARE</t>
  </si>
  <si>
    <t>Total Flow to roof = GHS 155,240.00</t>
  </si>
  <si>
    <t>Advance payment = GHS 120,000.00</t>
  </si>
  <si>
    <t>Balance = GHS 35,240.00</t>
  </si>
  <si>
    <t>INDUSTRIAL FANS</t>
  </si>
  <si>
    <t>STANDING FAN</t>
  </si>
  <si>
    <t>DRUMSET</t>
  </si>
  <si>
    <t>MICRO PHONES</t>
  </si>
  <si>
    <t>AGNES FRIMPONG</t>
  </si>
  <si>
    <t>POOR FUND</t>
  </si>
  <si>
    <t>REV. BISMARKS WIFE DONATION</t>
  </si>
  <si>
    <t>DONATION TO DISABLED</t>
  </si>
  <si>
    <t>MOTHERS DAY SCREENING</t>
  </si>
  <si>
    <t>MARINA'S FATHER DONATION</t>
  </si>
  <si>
    <t>BALANCE OF WELFARE FUNDS</t>
  </si>
  <si>
    <t>LYDIA NII BOI</t>
  </si>
  <si>
    <t>PATRICK OFOSU</t>
  </si>
  <si>
    <t>CHAIRS</t>
  </si>
  <si>
    <t>DAVID ANKOMAH</t>
  </si>
  <si>
    <t>AZIESO JACOB</t>
  </si>
  <si>
    <t>WOMEN FELLOWSHIP</t>
  </si>
  <si>
    <t>WATER/ECG</t>
  </si>
  <si>
    <t>SECTIONAL PICNIC</t>
  </si>
  <si>
    <t>LYDIA NIIBOI FATHER</t>
  </si>
  <si>
    <t>rev</t>
  </si>
  <si>
    <t>STEPHEN AMOFA</t>
  </si>
  <si>
    <t>REBECCA ANKAN</t>
  </si>
  <si>
    <t>RENT</t>
  </si>
  <si>
    <t>SALARY</t>
  </si>
  <si>
    <t>SALARY - ORGANIST</t>
  </si>
  <si>
    <t>FUND BALANCE AS AT 31ST DECEMBER 2024</t>
  </si>
  <si>
    <t>INCOME SOURCE</t>
  </si>
  <si>
    <t>KOFI &amp; AMA</t>
  </si>
  <si>
    <t>THANKSOFFERING</t>
  </si>
  <si>
    <t>SO MU BI</t>
  </si>
  <si>
    <t>GRANDTOTAL</t>
  </si>
  <si>
    <t>NORMAL SERVICE</t>
  </si>
  <si>
    <t xml:space="preserve">WEEKDAY </t>
  </si>
  <si>
    <t>SOCIETY REVENUE ANALYSIS SHEET</t>
  </si>
  <si>
    <t>SOCIETY CODE</t>
  </si>
  <si>
    <t>MONTH</t>
  </si>
  <si>
    <t>WEEK</t>
  </si>
  <si>
    <t>NORTHERN ACCRA DIOCESE</t>
  </si>
  <si>
    <t>GA-SUB URBAN CIRCUIT</t>
  </si>
  <si>
    <t>HEBRON SOCIETY</t>
  </si>
  <si>
    <t>CONNEX</t>
  </si>
  <si>
    <t>DIOCESE</t>
  </si>
  <si>
    <t>CIRCUIT</t>
  </si>
  <si>
    <t>SOCIETY</t>
  </si>
  <si>
    <t>DATE :</t>
  </si>
  <si>
    <t xml:space="preserve">JANUARY </t>
  </si>
  <si>
    <t>CUM FOR YEAR TO DATE</t>
  </si>
  <si>
    <t>TOTAL ASSESSMENT</t>
  </si>
  <si>
    <t>PEPERTUAL ANAMAN</t>
  </si>
  <si>
    <t>EBENEZER KONADU</t>
  </si>
  <si>
    <t>(V REV. KOBINA S. ANAMAN)</t>
  </si>
  <si>
    <t>STATEMENT OF ACCOUNT FOR THE PERIOD ENDING 30TH NOVEMBER,2024</t>
  </si>
  <si>
    <t>REGINA KWARFO</t>
  </si>
  <si>
    <t>ALICE NYELLANOUG</t>
  </si>
  <si>
    <t>ASSESSMENT</t>
  </si>
  <si>
    <t>ALLOWANCE FOR MINISTER</t>
  </si>
  <si>
    <t>SALARY ADVANCE</t>
  </si>
  <si>
    <t>WATER &amp; ECG</t>
  </si>
  <si>
    <t>REFUND</t>
  </si>
  <si>
    <t>EDWAD SAKYI MANTEY</t>
  </si>
  <si>
    <t>REGINA OWUSUA</t>
  </si>
  <si>
    <t>V.REV. KOBINA ANAMAN</t>
  </si>
  <si>
    <t>STATEMENT OF ACCOUNT FOR THE PERIOD 1ST JANUARY,2024 TO 31ST DECEMBER,2024</t>
  </si>
  <si>
    <t>FOR THE PERIOD ENDING 31ST DECEMBER,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</si>
</sst>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4"/>
      <name val="Trebuchet MS"/>
      <family val="2"/>
    </font>
    <font>
      <b/>
      <sz val="14"/>
      <color theme="1"/>
      <name val="Trebuchet MS"/>
      <family val="2"/>
    </font>
    <font>
      <sz val="10"/>
      <name val="Arial"/>
      <family val="2"/>
    </font>
    <font>
      <b/>
      <sz val="14"/>
      <color theme="0"/>
      <name val="Trebuchet MS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2"/>
      <color theme="1"/>
      <name val="Trebuchet MS"/>
      <family val="2"/>
    </font>
    <font>
      <b/>
      <sz val="12"/>
      <name val="Trebuchet MS"/>
      <family val="2"/>
    </font>
    <font>
      <b/>
      <i/>
      <sz val="10"/>
      <name val="Trebuchet MS"/>
      <family val="2"/>
    </font>
    <font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5" fillId="0" borderId="0"/>
  </cellStyleXfs>
  <cellXfs count="317">
    <xf numFmtId="0" fontId="0" fillId="0" borderId="0" xfId="0"/>
    <xf numFmtId="43" fontId="0" fillId="0" borderId="0" xfId="1" applyFont="1"/>
    <xf numFmtId="43" fontId="2" fillId="0" borderId="0" xfId="1" applyFont="1"/>
    <xf numFmtId="43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43" fontId="5" fillId="0" borderId="0" xfId="1" applyFont="1"/>
    <xf numFmtId="43" fontId="4" fillId="0" borderId="0" xfId="1" applyFont="1" applyAlignment="1">
      <alignment horizontal="center"/>
    </xf>
    <xf numFmtId="43" fontId="0" fillId="0" borderId="1" xfId="1" applyFont="1" applyBorder="1"/>
    <xf numFmtId="0" fontId="0" fillId="0" borderId="1" xfId="0" applyBorder="1"/>
    <xf numFmtId="0" fontId="6" fillId="0" borderId="0" xfId="0" applyFont="1" applyAlignment="1">
      <alignment vertical="center"/>
    </xf>
    <xf numFmtId="0" fontId="6" fillId="0" borderId="0" xfId="0" applyFont="1" applyAlignment="1"/>
    <xf numFmtId="43" fontId="6" fillId="0" borderId="0" xfId="1" applyFont="1" applyAlignment="1">
      <alignment vertical="center"/>
    </xf>
    <xf numFmtId="43" fontId="6" fillId="0" borderId="0" xfId="1" applyFont="1" applyAlignment="1"/>
    <xf numFmtId="43" fontId="2" fillId="0" borderId="1" xfId="0" applyNumberFormat="1" applyFont="1" applyBorder="1"/>
    <xf numFmtId="0" fontId="2" fillId="0" borderId="0" xfId="0" applyFont="1"/>
    <xf numFmtId="43" fontId="12" fillId="0" borderId="0" xfId="1" applyFont="1"/>
    <xf numFmtId="0" fontId="12" fillId="0" borderId="0" xfId="0" applyFont="1"/>
    <xf numFmtId="0" fontId="13" fillId="0" borderId="0" xfId="0" applyFont="1"/>
    <xf numFmtId="43" fontId="0" fillId="0" borderId="1" xfId="0" applyNumberFormat="1" applyBorder="1"/>
    <xf numFmtId="0" fontId="15" fillId="2" borderId="0" xfId="2" applyFill="1" applyAlignment="1">
      <alignment horizontal="center"/>
    </xf>
    <xf numFmtId="0" fontId="15" fillId="2" borderId="0" xfId="2" applyFill="1"/>
    <xf numFmtId="0" fontId="16" fillId="2" borderId="0" xfId="2" applyFont="1" applyFill="1" applyAlignment="1">
      <alignment horizontal="center"/>
    </xf>
    <xf numFmtId="0" fontId="17" fillId="2" borderId="0" xfId="2" applyFont="1" applyFill="1" applyAlignment="1">
      <alignment horizontal="center"/>
    </xf>
    <xf numFmtId="0" fontId="18" fillId="2" borderId="0" xfId="2" applyFont="1" applyFill="1"/>
    <xf numFmtId="0" fontId="19" fillId="2" borderId="0" xfId="2" applyFont="1" applyFill="1" applyAlignment="1">
      <alignment horizontal="center" textRotation="45"/>
    </xf>
    <xf numFmtId="0" fontId="20" fillId="2" borderId="0" xfId="2" applyFont="1" applyFill="1"/>
    <xf numFmtId="0" fontId="21" fillId="2" borderId="0" xfId="2" applyFont="1" applyFill="1" applyAlignment="1">
      <alignment horizontal="center"/>
    </xf>
    <xf numFmtId="0" fontId="22" fillId="2" borderId="0" xfId="2" applyFont="1" applyFill="1"/>
    <xf numFmtId="0" fontId="23" fillId="2" borderId="0" xfId="2" applyFont="1" applyFill="1" applyAlignment="1">
      <alignment horizontal="center"/>
    </xf>
    <xf numFmtId="0" fontId="24" fillId="2" borderId="0" xfId="2" applyFont="1" applyFill="1" applyAlignment="1">
      <alignment horizontal="center"/>
    </xf>
    <xf numFmtId="0" fontId="25" fillId="2" borderId="0" xfId="2" applyFont="1" applyFill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43" fontId="12" fillId="3" borderId="1" xfId="1" applyFont="1" applyFill="1" applyBorder="1"/>
    <xf numFmtId="0" fontId="13" fillId="3" borderId="5" xfId="0" applyFont="1" applyFill="1" applyBorder="1"/>
    <xf numFmtId="43" fontId="14" fillId="3" borderId="0" xfId="1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3" fillId="3" borderId="7" xfId="0" applyFont="1" applyFill="1" applyBorder="1"/>
    <xf numFmtId="0" fontId="12" fillId="3" borderId="5" xfId="0" applyFont="1" applyFill="1" applyBorder="1"/>
    <xf numFmtId="43" fontId="12" fillId="3" borderId="0" xfId="1" applyFont="1" applyFill="1" applyBorder="1"/>
    <xf numFmtId="0" fontId="12" fillId="3" borderId="10" xfId="0" applyFont="1" applyFill="1" applyBorder="1"/>
    <xf numFmtId="43" fontId="12" fillId="3" borderId="11" xfId="1" applyFont="1" applyFill="1" applyBorder="1"/>
    <xf numFmtId="0" fontId="5" fillId="3" borderId="9" xfId="0" applyFont="1" applyFill="1" applyBorder="1"/>
    <xf numFmtId="43" fontId="26" fillId="0" borderId="1" xfId="1" applyFont="1" applyBorder="1"/>
    <xf numFmtId="43" fontId="27" fillId="0" borderId="0" xfId="1" applyFont="1" applyAlignment="1">
      <alignment horizontal="center" wrapText="1"/>
    </xf>
    <xf numFmtId="43" fontId="0" fillId="4" borderId="0" xfId="1" applyFont="1" applyFill="1"/>
    <xf numFmtId="0" fontId="0" fillId="4" borderId="0" xfId="0" applyFill="1"/>
    <xf numFmtId="0" fontId="5" fillId="3" borderId="7" xfId="0" applyFont="1" applyFill="1" applyBorder="1"/>
    <xf numFmtId="0" fontId="0" fillId="0" borderId="1" xfId="0" applyBorder="1" applyAlignment="1">
      <alignment horizontal="center"/>
    </xf>
    <xf numFmtId="43" fontId="2" fillId="0" borderId="1" xfId="1" applyFont="1" applyBorder="1"/>
    <xf numFmtId="0" fontId="0" fillId="0" borderId="13" xfId="0" applyFill="1" applyBorder="1"/>
    <xf numFmtId="164" fontId="0" fillId="0" borderId="0" xfId="0" applyNumberFormat="1"/>
    <xf numFmtId="43" fontId="5" fillId="0" borderId="0" xfId="0" applyNumberFormat="1" applyFont="1"/>
    <xf numFmtId="164" fontId="5" fillId="0" borderId="0" xfId="0" applyNumberFormat="1" applyFont="1"/>
    <xf numFmtId="43" fontId="10" fillId="0" borderId="1" xfId="1" applyFont="1" applyFill="1" applyBorder="1"/>
    <xf numFmtId="43" fontId="9" fillId="0" borderId="1" xfId="1" applyFont="1" applyFill="1" applyBorder="1"/>
    <xf numFmtId="43" fontId="10" fillId="0" borderId="0" xfId="1" applyFont="1" applyFill="1"/>
    <xf numFmtId="43" fontId="10" fillId="0" borderId="1" xfId="1" applyFont="1" applyFill="1" applyBorder="1" applyAlignment="1">
      <alignment horizontal="center"/>
    </xf>
    <xf numFmtId="43" fontId="9" fillId="0" borderId="1" xfId="1" applyFont="1" applyFill="1" applyBorder="1" applyAlignment="1">
      <alignment horizontal="center"/>
    </xf>
    <xf numFmtId="43" fontId="10" fillId="0" borderId="14" xfId="1" applyFont="1" applyFill="1" applyBorder="1"/>
    <xf numFmtId="0" fontId="4" fillId="3" borderId="7" xfId="0" applyFont="1" applyFill="1" applyBorder="1" applyAlignment="1">
      <alignment horizontal="center"/>
    </xf>
    <xf numFmtId="0" fontId="4" fillId="3" borderId="7" xfId="0" applyFont="1" applyFill="1" applyBorder="1"/>
    <xf numFmtId="0" fontId="5" fillId="0" borderId="7" xfId="0" applyFont="1" applyBorder="1"/>
    <xf numFmtId="43" fontId="10" fillId="0" borderId="8" xfId="1" applyFont="1" applyFill="1" applyBorder="1"/>
    <xf numFmtId="0" fontId="5" fillId="0" borderId="5" xfId="0" applyFont="1" applyBorder="1"/>
    <xf numFmtId="43" fontId="10" fillId="0" borderId="0" xfId="1" applyFont="1" applyFill="1" applyBorder="1"/>
    <xf numFmtId="43" fontId="10" fillId="0" borderId="6" xfId="1" applyFont="1" applyFill="1" applyBorder="1"/>
    <xf numFmtId="43" fontId="9" fillId="0" borderId="0" xfId="1" applyFont="1" applyFill="1" applyBorder="1"/>
    <xf numFmtId="43" fontId="9" fillId="3" borderId="6" xfId="1" applyFont="1" applyFill="1" applyBorder="1" applyAlignment="1">
      <alignment horizontal="center"/>
    </xf>
    <xf numFmtId="43" fontId="28" fillId="3" borderId="8" xfId="1" applyFont="1" applyFill="1" applyBorder="1"/>
    <xf numFmtId="43" fontId="28" fillId="3" borderId="6" xfId="1" applyFont="1" applyFill="1" applyBorder="1"/>
    <xf numFmtId="43" fontId="28" fillId="3" borderId="12" xfId="1" applyFont="1" applyFill="1" applyBorder="1"/>
    <xf numFmtId="43" fontId="28" fillId="0" borderId="0" xfId="1" applyFont="1"/>
    <xf numFmtId="0" fontId="2" fillId="3" borderId="5" xfId="0" applyFont="1" applyFill="1" applyBorder="1" applyAlignment="1">
      <alignment horizontal="center"/>
    </xf>
    <xf numFmtId="0" fontId="0" fillId="5" borderId="1" xfId="0" applyFill="1" applyBorder="1"/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3" fontId="2" fillId="0" borderId="1" xfId="1" applyFont="1" applyBorder="1" applyAlignment="1">
      <alignment horizontal="center"/>
    </xf>
    <xf numFmtId="14" fontId="0" fillId="0" borderId="1" xfId="0" applyNumberForma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43" fontId="10" fillId="0" borderId="3" xfId="1" applyFont="1" applyFill="1" applyBorder="1"/>
    <xf numFmtId="0" fontId="5" fillId="0" borderId="4" xfId="0" applyFont="1" applyBorder="1"/>
    <xf numFmtId="0" fontId="4" fillId="0" borderId="7" xfId="0" applyFont="1" applyBorder="1" applyAlignment="1">
      <alignment horizontal="center"/>
    </xf>
    <xf numFmtId="43" fontId="9" fillId="0" borderId="8" xfId="1" applyFont="1" applyFill="1" applyBorder="1" applyAlignment="1">
      <alignment horizontal="center"/>
    </xf>
    <xf numFmtId="43" fontId="9" fillId="0" borderId="8" xfId="1" applyFont="1" applyFill="1" applyBorder="1"/>
    <xf numFmtId="0" fontId="5" fillId="0" borderId="0" xfId="0" applyFont="1" applyBorder="1"/>
    <xf numFmtId="0" fontId="4" fillId="0" borderId="10" xfId="0" applyFont="1" applyBorder="1" applyAlignment="1">
      <alignment horizontal="center"/>
    </xf>
    <xf numFmtId="43" fontId="10" fillId="0" borderId="11" xfId="1" applyFont="1" applyFill="1" applyBorder="1"/>
    <xf numFmtId="43" fontId="10" fillId="0" borderId="12" xfId="1" applyFont="1" applyFill="1" applyBorder="1"/>
    <xf numFmtId="43" fontId="10" fillId="0" borderId="23" xfId="1" applyFont="1" applyFill="1" applyBorder="1"/>
    <xf numFmtId="43" fontId="9" fillId="3" borderId="8" xfId="1" applyFont="1" applyFill="1" applyBorder="1" applyAlignment="1">
      <alignment horizontal="center"/>
    </xf>
    <xf numFmtId="0" fontId="4" fillId="3" borderId="10" xfId="0" applyFont="1" applyFill="1" applyBorder="1"/>
    <xf numFmtId="43" fontId="9" fillId="0" borderId="11" xfId="1" applyFont="1" applyFill="1" applyBorder="1"/>
    <xf numFmtId="43" fontId="9" fillId="3" borderId="12" xfId="1" applyFont="1" applyFill="1" applyBorder="1"/>
    <xf numFmtId="0" fontId="12" fillId="0" borderId="0" xfId="0" applyFont="1" applyBorder="1"/>
    <xf numFmtId="0" fontId="2" fillId="0" borderId="7" xfId="0" applyFont="1" applyBorder="1" applyAlignment="1">
      <alignment horizontal="center"/>
    </xf>
    <xf numFmtId="43" fontId="2" fillId="0" borderId="8" xfId="1" applyFont="1" applyBorder="1" applyAlignment="1">
      <alignment horizontal="center"/>
    </xf>
    <xf numFmtId="14" fontId="0" fillId="0" borderId="7" xfId="0" applyNumberFormat="1" applyBorder="1"/>
    <xf numFmtId="43" fontId="0" fillId="0" borderId="8" xfId="1" applyFont="1" applyBorder="1"/>
    <xf numFmtId="0" fontId="0" fillId="0" borderId="7" xfId="0" applyBorder="1"/>
    <xf numFmtId="43" fontId="2" fillId="0" borderId="8" xfId="1" applyFont="1" applyBorder="1"/>
    <xf numFmtId="0" fontId="0" fillId="0" borderId="18" xfId="0" applyBorder="1"/>
    <xf numFmtId="0" fontId="0" fillId="0" borderId="19" xfId="0" applyBorder="1"/>
    <xf numFmtId="43" fontId="0" fillId="0" borderId="19" xfId="1" applyFont="1" applyBorder="1"/>
    <xf numFmtId="43" fontId="2" fillId="0" borderId="19" xfId="1" applyFont="1" applyBorder="1"/>
    <xf numFmtId="43" fontId="2" fillId="0" borderId="20" xfId="1" applyFont="1" applyBorder="1"/>
    <xf numFmtId="0" fontId="0" fillId="0" borderId="1" xfId="0" applyFill="1" applyBorder="1"/>
    <xf numFmtId="43" fontId="1" fillId="0" borderId="1" xfId="1" applyFont="1" applyBorder="1"/>
    <xf numFmtId="43" fontId="0" fillId="0" borderId="1" xfId="0" applyNumberFormat="1" applyFont="1" applyBorder="1"/>
    <xf numFmtId="0" fontId="2" fillId="0" borderId="1" xfId="0" applyFont="1" applyBorder="1"/>
    <xf numFmtId="43" fontId="4" fillId="3" borderId="0" xfId="1" applyFont="1" applyFill="1" applyBorder="1" applyAlignment="1">
      <alignment horizontal="center"/>
    </xf>
    <xf numFmtId="43" fontId="0" fillId="0" borderId="1" xfId="1" applyFont="1" applyFill="1" applyBorder="1"/>
    <xf numFmtId="16" fontId="0" fillId="0" borderId="1" xfId="0" applyNumberFormat="1" applyBorder="1"/>
    <xf numFmtId="0" fontId="3" fillId="0" borderId="0" xfId="0" applyFont="1" applyAlignment="1">
      <alignment horizontal="center"/>
    </xf>
    <xf numFmtId="0" fontId="5" fillId="3" borderId="27" xfId="0" applyFont="1" applyFill="1" applyBorder="1"/>
    <xf numFmtId="0" fontId="5" fillId="3" borderId="29" xfId="0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43" fontId="28" fillId="0" borderId="1" xfId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43" fontId="12" fillId="3" borderId="8" xfId="1" applyFont="1" applyFill="1" applyBorder="1"/>
    <xf numFmtId="43" fontId="29" fillId="0" borderId="0" xfId="1" applyFont="1"/>
    <xf numFmtId="0" fontId="29" fillId="0" borderId="0" xfId="0" applyFont="1"/>
    <xf numFmtId="43" fontId="29" fillId="0" borderId="0" xfId="0" applyNumberFormat="1" applyFont="1"/>
    <xf numFmtId="43" fontId="28" fillId="0" borderId="1" xfId="1" applyFont="1" applyFill="1" applyBorder="1"/>
    <xf numFmtId="0" fontId="28" fillId="0" borderId="1" xfId="0" applyFont="1" applyBorder="1"/>
    <xf numFmtId="43" fontId="28" fillId="0" borderId="1" xfId="1" applyFont="1" applyBorder="1" applyAlignment="1">
      <alignment wrapText="1"/>
    </xf>
    <xf numFmtId="43" fontId="30" fillId="0" borderId="1" xfId="1" applyFont="1" applyBorder="1"/>
    <xf numFmtId="0" fontId="28" fillId="0" borderId="1" xfId="0" applyFont="1" applyBorder="1" applyAlignment="1">
      <alignment wrapText="1"/>
    </xf>
    <xf numFmtId="0" fontId="0" fillId="0" borderId="5" xfId="0" applyBorder="1"/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/>
    <xf numFmtId="43" fontId="28" fillId="0" borderId="7" xfId="1" applyFont="1" applyFill="1" applyBorder="1"/>
    <xf numFmtId="43" fontId="2" fillId="0" borderId="8" xfId="0" applyNumberFormat="1" applyFont="1" applyBorder="1"/>
    <xf numFmtId="0" fontId="0" fillId="0" borderId="0" xfId="0" applyBorder="1"/>
    <xf numFmtId="0" fontId="0" fillId="0" borderId="6" xfId="0" applyBorder="1"/>
    <xf numFmtId="43" fontId="0" fillId="0" borderId="8" xfId="0" applyNumberFormat="1" applyBorder="1"/>
    <xf numFmtId="0" fontId="2" fillId="0" borderId="5" xfId="0" applyFont="1" applyBorder="1"/>
    <xf numFmtId="43" fontId="2" fillId="0" borderId="6" xfId="0" applyNumberFormat="1" applyFont="1" applyBorder="1"/>
    <xf numFmtId="0" fontId="0" fillId="0" borderId="8" xfId="0" applyBorder="1"/>
    <xf numFmtId="0" fontId="2" fillId="0" borderId="10" xfId="0" applyFont="1" applyBorder="1"/>
    <xf numFmtId="0" fontId="0" fillId="0" borderId="11" xfId="0" applyBorder="1"/>
    <xf numFmtId="43" fontId="2" fillId="0" borderId="12" xfId="0" applyNumberFormat="1" applyFont="1" applyBorder="1"/>
    <xf numFmtId="43" fontId="32" fillId="0" borderId="0" xfId="1" applyFont="1"/>
    <xf numFmtId="0" fontId="5" fillId="3" borderId="1" xfId="0" applyFont="1" applyFill="1" applyBorder="1"/>
    <xf numFmtId="0" fontId="4" fillId="0" borderId="0" xfId="0" applyFont="1" applyBorder="1"/>
    <xf numFmtId="43" fontId="10" fillId="3" borderId="1" xfId="1" applyFont="1" applyFill="1" applyBorder="1" applyAlignment="1">
      <alignment horizontal="center"/>
    </xf>
    <xf numFmtId="0" fontId="33" fillId="0" borderId="0" xfId="0" applyFont="1"/>
    <xf numFmtId="43" fontId="33" fillId="0" borderId="0" xfId="1" applyFont="1"/>
    <xf numFmtId="0" fontId="34" fillId="0" borderId="1" xfId="0" applyFont="1" applyFill="1" applyBorder="1" applyAlignment="1">
      <alignment horizontal="center" wrapText="1"/>
    </xf>
    <xf numFmtId="0" fontId="34" fillId="0" borderId="1" xfId="0" applyFont="1" applyFill="1" applyBorder="1" applyAlignment="1">
      <alignment horizontal="left" wrapText="1"/>
    </xf>
    <xf numFmtId="0" fontId="34" fillId="0" borderId="1" xfId="0" applyFont="1" applyFill="1" applyBorder="1" applyAlignment="1">
      <alignment horizontal="center" vertical="center"/>
    </xf>
    <xf numFmtId="49" fontId="34" fillId="0" borderId="1" xfId="0" applyNumberFormat="1" applyFont="1" applyFill="1" applyBorder="1" applyAlignment="1">
      <alignment horizontal="left"/>
    </xf>
    <xf numFmtId="43" fontId="33" fillId="0" borderId="1" xfId="1" applyFont="1" applyBorder="1" applyAlignment="1">
      <alignment horizontal="center" vertical="center"/>
    </xf>
    <xf numFmtId="49" fontId="33" fillId="0" borderId="1" xfId="0" applyNumberFormat="1" applyFont="1" applyFill="1" applyBorder="1" applyAlignment="1">
      <alignment horizontal="center"/>
    </xf>
    <xf numFmtId="0" fontId="33" fillId="0" borderId="1" xfId="0" applyFont="1" applyFill="1" applyBorder="1" applyAlignment="1">
      <alignment horizontal="left" vertical="center"/>
    </xf>
    <xf numFmtId="0" fontId="33" fillId="0" borderId="1" xfId="0" applyFont="1" applyFill="1" applyBorder="1"/>
    <xf numFmtId="43" fontId="33" fillId="0" borderId="1" xfId="1" applyFont="1" applyBorder="1"/>
    <xf numFmtId="0" fontId="33" fillId="0" borderId="1" xfId="0" applyFont="1" applyBorder="1"/>
    <xf numFmtId="0" fontId="34" fillId="0" borderId="1" xfId="0" applyFont="1" applyFill="1" applyBorder="1" applyAlignment="1">
      <alignment horizontal="left"/>
    </xf>
    <xf numFmtId="49" fontId="33" fillId="0" borderId="1" xfId="0" applyNumberFormat="1" applyFont="1" applyFill="1" applyBorder="1" applyAlignment="1">
      <alignment horizontal="left"/>
    </xf>
    <xf numFmtId="39" fontId="33" fillId="0" borderId="1" xfId="0" applyNumberFormat="1" applyFont="1" applyFill="1" applyBorder="1"/>
    <xf numFmtId="0" fontId="34" fillId="0" borderId="1" xfId="0" applyFont="1" applyBorder="1"/>
    <xf numFmtId="0" fontId="0" fillId="0" borderId="0" xfId="0" applyFont="1"/>
    <xf numFmtId="43" fontId="12" fillId="0" borderId="1" xfId="1" applyFont="1" applyBorder="1"/>
    <xf numFmtId="0" fontId="0" fillId="0" borderId="1" xfId="0" applyFont="1" applyBorder="1"/>
    <xf numFmtId="43" fontId="0" fillId="0" borderId="0" xfId="1" applyFont="1" applyAlignment="1">
      <alignment horizontal="center"/>
    </xf>
    <xf numFmtId="0" fontId="4" fillId="0" borderId="0" xfId="0" applyFont="1" applyBorder="1" applyAlignment="1">
      <alignment horizontal="center"/>
    </xf>
    <xf numFmtId="43" fontId="9" fillId="3" borderId="1" xfId="1" applyFont="1" applyFill="1" applyBorder="1"/>
    <xf numFmtId="43" fontId="9" fillId="3" borderId="1" xfId="1" applyFont="1" applyFill="1" applyBorder="1" applyAlignment="1">
      <alignment horizontal="center"/>
    </xf>
    <xf numFmtId="43" fontId="10" fillId="3" borderId="1" xfId="1" applyFont="1" applyFill="1" applyBorder="1"/>
    <xf numFmtId="43" fontId="10" fillId="3" borderId="1" xfId="1" quotePrefix="1" applyFont="1" applyFill="1" applyBorder="1" applyAlignment="1">
      <alignment horizontal="center"/>
    </xf>
    <xf numFmtId="43" fontId="5" fillId="0" borderId="1" xfId="1" applyFont="1" applyBorder="1"/>
    <xf numFmtId="43" fontId="5" fillId="0" borderId="1" xfId="0" applyNumberFormat="1" applyFont="1" applyBorder="1"/>
    <xf numFmtId="0" fontId="5" fillId="3" borderId="22" xfId="0" applyFont="1" applyFill="1" applyBorder="1"/>
    <xf numFmtId="43" fontId="9" fillId="0" borderId="31" xfId="1" quotePrefix="1" applyFont="1" applyFill="1" applyBorder="1" applyAlignment="1">
      <alignment horizontal="center"/>
    </xf>
    <xf numFmtId="0" fontId="5" fillId="0" borderId="8" xfId="0" applyFont="1" applyBorder="1"/>
    <xf numFmtId="43" fontId="5" fillId="0" borderId="8" xfId="1" applyFont="1" applyBorder="1"/>
    <xf numFmtId="43" fontId="5" fillId="0" borderId="8" xfId="0" applyNumberFormat="1" applyFont="1" applyBorder="1"/>
    <xf numFmtId="0" fontId="4" fillId="0" borderId="7" xfId="0" applyFont="1" applyBorder="1"/>
    <xf numFmtId="0" fontId="4" fillId="0" borderId="10" xfId="0" applyFont="1" applyBorder="1"/>
    <xf numFmtId="0" fontId="5" fillId="0" borderId="12" xfId="0" applyFont="1" applyBorder="1"/>
    <xf numFmtId="43" fontId="9" fillId="0" borderId="13" xfId="1" applyFont="1" applyFill="1" applyBorder="1"/>
    <xf numFmtId="43" fontId="9" fillId="3" borderId="13" xfId="1" applyFont="1" applyFill="1" applyBorder="1"/>
    <xf numFmtId="0" fontId="5" fillId="0" borderId="6" xfId="0" applyFont="1" applyBorder="1"/>
    <xf numFmtId="0" fontId="4" fillId="3" borderId="34" xfId="0" applyFont="1" applyFill="1" applyBorder="1"/>
    <xf numFmtId="0" fontId="5" fillId="0" borderId="35" xfId="0" applyFont="1" applyBorder="1"/>
    <xf numFmtId="43" fontId="10" fillId="3" borderId="14" xfId="1" applyFont="1" applyFill="1" applyBorder="1"/>
    <xf numFmtId="0" fontId="5" fillId="0" borderId="30" xfId="0" applyFont="1" applyBorder="1"/>
    <xf numFmtId="43" fontId="5" fillId="0" borderId="32" xfId="1" applyFont="1" applyBorder="1"/>
    <xf numFmtId="43" fontId="10" fillId="3" borderId="23" xfId="1" applyFont="1" applyFill="1" applyBorder="1"/>
    <xf numFmtId="0" fontId="5" fillId="0" borderId="28" xfId="0" applyFont="1" applyBorder="1"/>
    <xf numFmtId="43" fontId="9" fillId="3" borderId="11" xfId="1" applyFont="1" applyFill="1" applyBorder="1"/>
    <xf numFmtId="0" fontId="4" fillId="0" borderId="32" xfId="0" applyFont="1" applyBorder="1" applyAlignment="1">
      <alignment horizontal="center"/>
    </xf>
    <xf numFmtId="43" fontId="10" fillId="0" borderId="31" xfId="1" applyFont="1" applyFill="1" applyBorder="1"/>
    <xf numFmtId="43" fontId="5" fillId="0" borderId="31" xfId="1" applyFont="1" applyBorder="1"/>
    <xf numFmtId="0" fontId="5" fillId="0" borderId="11" xfId="0" applyFont="1" applyBorder="1"/>
    <xf numFmtId="43" fontId="9" fillId="3" borderId="36" xfId="1" applyFont="1" applyFill="1" applyBorder="1"/>
    <xf numFmtId="43" fontId="10" fillId="3" borderId="37" xfId="1" applyFont="1" applyFill="1" applyBorder="1"/>
    <xf numFmtId="43" fontId="10" fillId="3" borderId="38" xfId="1" applyFont="1" applyFill="1" applyBorder="1"/>
    <xf numFmtId="43" fontId="9" fillId="0" borderId="33" xfId="1" applyFont="1" applyFill="1" applyBorder="1" applyAlignment="1">
      <alignment horizontal="center"/>
    </xf>
    <xf numFmtId="43" fontId="10" fillId="0" borderId="33" xfId="1" applyFont="1" applyFill="1" applyBorder="1"/>
    <xf numFmtId="0" fontId="5" fillId="0" borderId="33" xfId="0" applyFont="1" applyBorder="1"/>
    <xf numFmtId="0" fontId="4" fillId="0" borderId="33" xfId="0" applyFont="1" applyBorder="1" applyAlignment="1">
      <alignment horizontal="center"/>
    </xf>
    <xf numFmtId="43" fontId="10" fillId="0" borderId="39" xfId="1" applyFont="1" applyFill="1" applyBorder="1"/>
    <xf numFmtId="0" fontId="3" fillId="3" borderId="0" xfId="0" applyFont="1" applyFill="1" applyBorder="1" applyAlignment="1"/>
    <xf numFmtId="0" fontId="3" fillId="3" borderId="6" xfId="0" applyFont="1" applyFill="1" applyBorder="1" applyAlignment="1"/>
    <xf numFmtId="0" fontId="6" fillId="3" borderId="19" xfId="0" applyFont="1" applyFill="1" applyBorder="1" applyAlignment="1"/>
    <xf numFmtId="0" fontId="6" fillId="3" borderId="20" xfId="0" applyFont="1" applyFill="1" applyBorder="1" applyAlignment="1"/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3" borderId="0" xfId="0" applyFont="1" applyFill="1" applyBorder="1" applyAlignment="1"/>
    <xf numFmtId="0" fontId="6" fillId="3" borderId="6" xfId="0" applyFont="1" applyFill="1" applyBorder="1" applyAlignment="1"/>
    <xf numFmtId="43" fontId="0" fillId="0" borderId="0" xfId="1" applyFont="1" applyFill="1"/>
    <xf numFmtId="0" fontId="0" fillId="0" borderId="0" xfId="0" applyFill="1"/>
    <xf numFmtId="43" fontId="6" fillId="0" borderId="0" xfId="1" applyFont="1" applyFill="1" applyAlignment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1" xfId="1" quotePrefix="1" applyNumberFormat="1" applyFont="1" applyFill="1" applyBorder="1" applyAlignment="1">
      <alignment horizontal="center"/>
    </xf>
    <xf numFmtId="165" fontId="0" fillId="0" borderId="1" xfId="1" applyNumberFormat="1" applyFont="1" applyFill="1" applyBorder="1"/>
    <xf numFmtId="43" fontId="4" fillId="0" borderId="1" xfId="1" applyFont="1" applyFill="1" applyBorder="1" applyAlignment="1">
      <alignment horizontal="center"/>
    </xf>
    <xf numFmtId="43" fontId="0" fillId="0" borderId="0" xfId="0" applyNumberFormat="1" applyFill="1"/>
    <xf numFmtId="12" fontId="0" fillId="0" borderId="1" xfId="1" applyNumberFormat="1" applyFont="1" applyFill="1" applyBorder="1"/>
    <xf numFmtId="43" fontId="26" fillId="0" borderId="1" xfId="1" applyFont="1" applyFill="1" applyBorder="1"/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2" fillId="0" borderId="1" xfId="0" applyFont="1" applyBorder="1"/>
    <xf numFmtId="43" fontId="0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5" fillId="3" borderId="40" xfId="0" applyFont="1" applyFill="1" applyBorder="1"/>
    <xf numFmtId="43" fontId="12" fillId="3" borderId="14" xfId="1" applyFont="1" applyFill="1" applyBorder="1"/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8" xfId="0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43" fontId="2" fillId="0" borderId="11" xfId="1" applyFont="1" applyBorder="1"/>
    <xf numFmtId="43" fontId="2" fillId="0" borderId="12" xfId="1" applyFont="1" applyBorder="1"/>
    <xf numFmtId="0" fontId="30" fillId="6" borderId="1" xfId="0" applyFont="1" applyFill="1" applyBorder="1" applyAlignment="1">
      <alignment horizontal="center" vertical="center" wrapText="1"/>
    </xf>
    <xf numFmtId="43" fontId="28" fillId="6" borderId="33" xfId="1" applyFont="1" applyFill="1" applyBorder="1"/>
    <xf numFmtId="43" fontId="30" fillId="6" borderId="11" xfId="1" applyFont="1" applyFill="1" applyBorder="1"/>
    <xf numFmtId="0" fontId="5" fillId="3" borderId="5" xfId="0" applyFont="1" applyFill="1" applyBorder="1"/>
    <xf numFmtId="43" fontId="12" fillId="3" borderId="30" xfId="1" applyFont="1" applyFill="1" applyBorder="1"/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43" fontId="33" fillId="0" borderId="1" xfId="1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25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 wrapText="1"/>
    </xf>
    <xf numFmtId="0" fontId="30" fillId="6" borderId="23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3" fontId="10" fillId="0" borderId="1" xfId="1" applyFont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7"/>
  <sheetViews>
    <sheetView view="pageBreakPreview" topLeftCell="A12" zoomScaleNormal="75" zoomScaleSheetLayoutView="100" zoomScalePageLayoutView="75" workbookViewId="0">
      <selection activeCell="B24" sqref="B24"/>
    </sheetView>
  </sheetViews>
  <sheetFormatPr defaultColWidth="8.88671875" defaultRowHeight="13.2" x14ac:dyDescent="0.25"/>
  <cols>
    <col min="1" max="1" width="8.88671875" style="22"/>
    <col min="2" max="2" width="108.6640625" style="21" customWidth="1"/>
    <col min="3" max="257" width="8.88671875" style="22"/>
    <col min="258" max="258" width="108.6640625" style="22" customWidth="1"/>
    <col min="259" max="513" width="8.88671875" style="22"/>
    <col min="514" max="514" width="108.6640625" style="22" customWidth="1"/>
    <col min="515" max="769" width="8.88671875" style="22"/>
    <col min="770" max="770" width="108.6640625" style="22" customWidth="1"/>
    <col min="771" max="1025" width="8.88671875" style="22"/>
    <col min="1026" max="1026" width="108.6640625" style="22" customWidth="1"/>
    <col min="1027" max="1281" width="8.88671875" style="22"/>
    <col min="1282" max="1282" width="108.6640625" style="22" customWidth="1"/>
    <col min="1283" max="1537" width="8.88671875" style="22"/>
    <col min="1538" max="1538" width="108.6640625" style="22" customWidth="1"/>
    <col min="1539" max="1793" width="8.88671875" style="22"/>
    <col min="1794" max="1794" width="108.6640625" style="22" customWidth="1"/>
    <col min="1795" max="2049" width="8.88671875" style="22"/>
    <col min="2050" max="2050" width="108.6640625" style="22" customWidth="1"/>
    <col min="2051" max="2305" width="8.88671875" style="22"/>
    <col min="2306" max="2306" width="108.6640625" style="22" customWidth="1"/>
    <col min="2307" max="2561" width="8.88671875" style="22"/>
    <col min="2562" max="2562" width="108.6640625" style="22" customWidth="1"/>
    <col min="2563" max="2817" width="8.88671875" style="22"/>
    <col min="2818" max="2818" width="108.6640625" style="22" customWidth="1"/>
    <col min="2819" max="3073" width="8.88671875" style="22"/>
    <col min="3074" max="3074" width="108.6640625" style="22" customWidth="1"/>
    <col min="3075" max="3329" width="8.88671875" style="22"/>
    <col min="3330" max="3330" width="108.6640625" style="22" customWidth="1"/>
    <col min="3331" max="3585" width="8.88671875" style="22"/>
    <col min="3586" max="3586" width="108.6640625" style="22" customWidth="1"/>
    <col min="3587" max="3841" width="8.88671875" style="22"/>
    <col min="3842" max="3842" width="108.6640625" style="22" customWidth="1"/>
    <col min="3843" max="4097" width="8.88671875" style="22"/>
    <col min="4098" max="4098" width="108.6640625" style="22" customWidth="1"/>
    <col min="4099" max="4353" width="8.88671875" style="22"/>
    <col min="4354" max="4354" width="108.6640625" style="22" customWidth="1"/>
    <col min="4355" max="4609" width="8.88671875" style="22"/>
    <col min="4610" max="4610" width="108.6640625" style="22" customWidth="1"/>
    <col min="4611" max="4865" width="8.88671875" style="22"/>
    <col min="4866" max="4866" width="108.6640625" style="22" customWidth="1"/>
    <col min="4867" max="5121" width="8.88671875" style="22"/>
    <col min="5122" max="5122" width="108.6640625" style="22" customWidth="1"/>
    <col min="5123" max="5377" width="8.88671875" style="22"/>
    <col min="5378" max="5378" width="108.6640625" style="22" customWidth="1"/>
    <col min="5379" max="5633" width="8.88671875" style="22"/>
    <col min="5634" max="5634" width="108.6640625" style="22" customWidth="1"/>
    <col min="5635" max="5889" width="8.88671875" style="22"/>
    <col min="5890" max="5890" width="108.6640625" style="22" customWidth="1"/>
    <col min="5891" max="6145" width="8.88671875" style="22"/>
    <col min="6146" max="6146" width="108.6640625" style="22" customWidth="1"/>
    <col min="6147" max="6401" width="8.88671875" style="22"/>
    <col min="6402" max="6402" width="108.6640625" style="22" customWidth="1"/>
    <col min="6403" max="6657" width="8.88671875" style="22"/>
    <col min="6658" max="6658" width="108.6640625" style="22" customWidth="1"/>
    <col min="6659" max="6913" width="8.88671875" style="22"/>
    <col min="6914" max="6914" width="108.6640625" style="22" customWidth="1"/>
    <col min="6915" max="7169" width="8.88671875" style="22"/>
    <col min="7170" max="7170" width="108.6640625" style="22" customWidth="1"/>
    <col min="7171" max="7425" width="8.88671875" style="22"/>
    <col min="7426" max="7426" width="108.6640625" style="22" customWidth="1"/>
    <col min="7427" max="7681" width="8.88671875" style="22"/>
    <col min="7682" max="7682" width="108.6640625" style="22" customWidth="1"/>
    <col min="7683" max="7937" width="8.88671875" style="22"/>
    <col min="7938" max="7938" width="108.6640625" style="22" customWidth="1"/>
    <col min="7939" max="8193" width="8.88671875" style="22"/>
    <col min="8194" max="8194" width="108.6640625" style="22" customWidth="1"/>
    <col min="8195" max="8449" width="8.88671875" style="22"/>
    <col min="8450" max="8450" width="108.6640625" style="22" customWidth="1"/>
    <col min="8451" max="8705" width="8.88671875" style="22"/>
    <col min="8706" max="8706" width="108.6640625" style="22" customWidth="1"/>
    <col min="8707" max="8961" width="8.88671875" style="22"/>
    <col min="8962" max="8962" width="108.6640625" style="22" customWidth="1"/>
    <col min="8963" max="9217" width="8.88671875" style="22"/>
    <col min="9218" max="9218" width="108.6640625" style="22" customWidth="1"/>
    <col min="9219" max="9473" width="8.88671875" style="22"/>
    <col min="9474" max="9474" width="108.6640625" style="22" customWidth="1"/>
    <col min="9475" max="9729" width="8.88671875" style="22"/>
    <col min="9730" max="9730" width="108.6640625" style="22" customWidth="1"/>
    <col min="9731" max="9985" width="8.88671875" style="22"/>
    <col min="9986" max="9986" width="108.6640625" style="22" customWidth="1"/>
    <col min="9987" max="10241" width="8.88671875" style="22"/>
    <col min="10242" max="10242" width="108.6640625" style="22" customWidth="1"/>
    <col min="10243" max="10497" width="8.88671875" style="22"/>
    <col min="10498" max="10498" width="108.6640625" style="22" customWidth="1"/>
    <col min="10499" max="10753" width="8.88671875" style="22"/>
    <col min="10754" max="10754" width="108.6640625" style="22" customWidth="1"/>
    <col min="10755" max="11009" width="8.88671875" style="22"/>
    <col min="11010" max="11010" width="108.6640625" style="22" customWidth="1"/>
    <col min="11011" max="11265" width="8.88671875" style="22"/>
    <col min="11266" max="11266" width="108.6640625" style="22" customWidth="1"/>
    <col min="11267" max="11521" width="8.88671875" style="22"/>
    <col min="11522" max="11522" width="108.6640625" style="22" customWidth="1"/>
    <col min="11523" max="11777" width="8.88671875" style="22"/>
    <col min="11778" max="11778" width="108.6640625" style="22" customWidth="1"/>
    <col min="11779" max="12033" width="8.88671875" style="22"/>
    <col min="12034" max="12034" width="108.6640625" style="22" customWidth="1"/>
    <col min="12035" max="12289" width="8.88671875" style="22"/>
    <col min="12290" max="12290" width="108.6640625" style="22" customWidth="1"/>
    <col min="12291" max="12545" width="8.88671875" style="22"/>
    <col min="12546" max="12546" width="108.6640625" style="22" customWidth="1"/>
    <col min="12547" max="12801" width="8.88671875" style="22"/>
    <col min="12802" max="12802" width="108.6640625" style="22" customWidth="1"/>
    <col min="12803" max="13057" width="8.88671875" style="22"/>
    <col min="13058" max="13058" width="108.6640625" style="22" customWidth="1"/>
    <col min="13059" max="13313" width="8.88671875" style="22"/>
    <col min="13314" max="13314" width="108.6640625" style="22" customWidth="1"/>
    <col min="13315" max="13569" width="8.88671875" style="22"/>
    <col min="13570" max="13570" width="108.6640625" style="22" customWidth="1"/>
    <col min="13571" max="13825" width="8.88671875" style="22"/>
    <col min="13826" max="13826" width="108.6640625" style="22" customWidth="1"/>
    <col min="13827" max="14081" width="8.88671875" style="22"/>
    <col min="14082" max="14082" width="108.6640625" style="22" customWidth="1"/>
    <col min="14083" max="14337" width="8.88671875" style="22"/>
    <col min="14338" max="14338" width="108.6640625" style="22" customWidth="1"/>
    <col min="14339" max="14593" width="8.88671875" style="22"/>
    <col min="14594" max="14594" width="108.6640625" style="22" customWidth="1"/>
    <col min="14595" max="14849" width="8.88671875" style="22"/>
    <col min="14850" max="14850" width="108.6640625" style="22" customWidth="1"/>
    <col min="14851" max="15105" width="8.88671875" style="22"/>
    <col min="15106" max="15106" width="108.6640625" style="22" customWidth="1"/>
    <col min="15107" max="15361" width="8.88671875" style="22"/>
    <col min="15362" max="15362" width="108.6640625" style="22" customWidth="1"/>
    <col min="15363" max="15617" width="8.88671875" style="22"/>
    <col min="15618" max="15618" width="108.6640625" style="22" customWidth="1"/>
    <col min="15619" max="15873" width="8.88671875" style="22"/>
    <col min="15874" max="15874" width="108.6640625" style="22" customWidth="1"/>
    <col min="15875" max="16129" width="8.88671875" style="22"/>
    <col min="16130" max="16130" width="108.6640625" style="22" customWidth="1"/>
    <col min="16131" max="16384" width="8.88671875" style="22"/>
  </cols>
  <sheetData>
    <row r="1" spans="2:4" ht="18" customHeight="1" x14ac:dyDescent="0.25"/>
    <row r="2" spans="2:4" ht="32.25" customHeight="1" x14ac:dyDescent="0.25">
      <c r="B2" s="33" t="s">
        <v>136</v>
      </c>
      <c r="C2" s="11"/>
      <c r="D2" s="11"/>
    </row>
    <row r="3" spans="2:4" ht="18" customHeight="1" x14ac:dyDescent="0.35">
      <c r="B3" s="34" t="s">
        <v>137</v>
      </c>
      <c r="C3" s="12"/>
      <c r="D3" s="12"/>
    </row>
    <row r="4" spans="2:4" ht="18" customHeight="1" x14ac:dyDescent="0.35">
      <c r="B4" s="34" t="s">
        <v>138</v>
      </c>
      <c r="C4" s="12"/>
      <c r="D4" s="12"/>
    </row>
    <row r="5" spans="2:4" ht="23.25" customHeight="1" x14ac:dyDescent="0.35">
      <c r="B5" s="34" t="s">
        <v>261</v>
      </c>
      <c r="C5" s="12"/>
      <c r="D5" s="12"/>
    </row>
    <row r="6" spans="2:4" ht="27.75" customHeight="1" x14ac:dyDescent="0.35">
      <c r="B6" s="35" t="s">
        <v>486</v>
      </c>
      <c r="C6" s="12"/>
      <c r="D6" s="12"/>
    </row>
    <row r="7" spans="2:4" ht="18" customHeight="1" x14ac:dyDescent="0.35">
      <c r="B7" s="24"/>
    </row>
    <row r="8" spans="2:4" ht="18" customHeight="1" x14ac:dyDescent="0.35">
      <c r="B8" s="24"/>
    </row>
    <row r="9" spans="2:4" ht="18" customHeight="1" x14ac:dyDescent="0.35">
      <c r="B9" s="24"/>
    </row>
    <row r="10" spans="2:4" s="25" customFormat="1" ht="18" customHeight="1" x14ac:dyDescent="0.35">
      <c r="B10" s="24"/>
    </row>
    <row r="11" spans="2:4" s="27" customFormat="1" ht="49.5" customHeight="1" x14ac:dyDescent="0.25">
      <c r="B11" s="26" t="s">
        <v>37</v>
      </c>
    </row>
    <row r="12" spans="2:4" s="25" customFormat="1" ht="18" customHeight="1" x14ac:dyDescent="0.35">
      <c r="B12" s="24"/>
    </row>
    <row r="13" spans="2:4" s="25" customFormat="1" x14ac:dyDescent="0.25">
      <c r="B13" s="28"/>
    </row>
    <row r="14" spans="2:4" s="29" customFormat="1" ht="18" customHeight="1" x14ac:dyDescent="0.35">
      <c r="B14" s="24"/>
    </row>
    <row r="15" spans="2:4" s="29" customFormat="1" ht="18" customHeight="1" x14ac:dyDescent="0.35">
      <c r="B15" s="30"/>
    </row>
    <row r="16" spans="2:4" ht="18" customHeight="1" x14ac:dyDescent="0.35">
      <c r="B16" s="31"/>
    </row>
    <row r="17" spans="2:2" ht="18" customHeight="1" x14ac:dyDescent="0.25">
      <c r="B17" s="22"/>
    </row>
    <row r="18" spans="2:2" ht="18" customHeight="1" x14ac:dyDescent="0.35">
      <c r="B18" s="23"/>
    </row>
    <row r="19" spans="2:2" ht="22.5" customHeight="1" x14ac:dyDescent="0.35">
      <c r="B19" s="23" t="s">
        <v>112</v>
      </c>
    </row>
    <row r="20" spans="2:2" ht="20.25" customHeight="1" x14ac:dyDescent="0.35">
      <c r="B20" s="23" t="s">
        <v>487</v>
      </c>
    </row>
    <row r="21" spans="2:2" ht="18" customHeight="1" x14ac:dyDescent="0.25"/>
    <row r="22" spans="2:2" ht="18" customHeight="1" x14ac:dyDescent="0.35">
      <c r="B22" s="23"/>
    </row>
    <row r="23" spans="2:2" ht="18" customHeight="1" x14ac:dyDescent="0.35">
      <c r="B23" s="23"/>
    </row>
    <row r="24" spans="2:2" ht="18" customHeight="1" x14ac:dyDescent="0.35">
      <c r="B24" s="23"/>
    </row>
    <row r="25" spans="2:2" ht="18" customHeight="1" x14ac:dyDescent="0.35">
      <c r="B25" s="23"/>
    </row>
    <row r="26" spans="2:2" ht="18" customHeight="1" x14ac:dyDescent="0.35">
      <c r="B26" s="23"/>
    </row>
    <row r="27" spans="2:2" ht="18" customHeight="1" x14ac:dyDescent="0.35">
      <c r="B27" s="23"/>
    </row>
    <row r="28" spans="2:2" ht="18" customHeight="1" x14ac:dyDescent="0.35">
      <c r="B28" s="23"/>
    </row>
    <row r="29" spans="2:2" ht="18" customHeight="1" x14ac:dyDescent="0.35">
      <c r="B29" s="23"/>
    </row>
    <row r="30" spans="2:2" ht="18" customHeight="1" x14ac:dyDescent="0.35">
      <c r="B30" s="23"/>
    </row>
    <row r="31" spans="2:2" ht="18" customHeight="1" x14ac:dyDescent="0.35">
      <c r="B31" s="23"/>
    </row>
    <row r="32" spans="2:2" ht="18" customHeight="1" x14ac:dyDescent="0.35">
      <c r="B32" s="23"/>
    </row>
    <row r="33" spans="2:2" ht="18" customHeight="1" x14ac:dyDescent="0.25"/>
    <row r="34" spans="2:2" ht="18" customHeight="1" x14ac:dyDescent="0.25"/>
    <row r="35" spans="2:2" ht="18" customHeight="1" x14ac:dyDescent="0.25"/>
    <row r="36" spans="2:2" ht="18" customHeight="1" x14ac:dyDescent="0.25"/>
    <row r="37" spans="2:2" ht="18" customHeight="1" x14ac:dyDescent="0.35">
      <c r="B37" s="31"/>
    </row>
    <row r="38" spans="2:2" ht="18" customHeight="1" x14ac:dyDescent="0.35">
      <c r="B38" s="32"/>
    </row>
    <row r="39" spans="2:2" ht="18" customHeight="1" x14ac:dyDescent="0.25">
      <c r="B39" s="22"/>
    </row>
    <row r="40" spans="2:2" ht="18" customHeight="1" x14ac:dyDescent="0.25"/>
    <row r="41" spans="2:2" ht="18" customHeight="1" x14ac:dyDescent="0.25"/>
    <row r="42" spans="2:2" ht="18" customHeight="1" x14ac:dyDescent="0.25"/>
    <row r="43" spans="2:2" ht="18" customHeight="1" x14ac:dyDescent="0.25"/>
    <row r="44" spans="2:2" ht="18" customHeight="1" x14ac:dyDescent="0.25"/>
    <row r="45" spans="2:2" ht="18" customHeight="1" x14ac:dyDescent="0.25"/>
    <row r="46" spans="2:2" ht="18" customHeight="1" x14ac:dyDescent="0.25"/>
    <row r="47" spans="2:2" ht="18" customHeight="1" x14ac:dyDescent="0.25"/>
  </sheetData>
  <pageMargins left="0.26" right="0.18" top="1" bottom="0.38" header="0.5" footer="0.26"/>
  <pageSetup scale="95" orientation="portrait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3"/>
  <sheetViews>
    <sheetView tabSelected="1" view="pageBreakPreview" topLeftCell="A14" zoomScale="67" zoomScaleNormal="100" workbookViewId="0">
      <selection activeCell="K74" sqref="K74"/>
    </sheetView>
  </sheetViews>
  <sheetFormatPr defaultColWidth="8.88671875" defaultRowHeight="15.6" x14ac:dyDescent="0.3"/>
  <cols>
    <col min="1" max="1" width="49.6640625" style="6" customWidth="1"/>
    <col min="2" max="3" width="23.88671875" style="59" customWidth="1"/>
    <col min="4" max="6" width="23.88671875" style="59" hidden="1" customWidth="1"/>
    <col min="7" max="7" width="23.88671875" style="59" customWidth="1"/>
    <col min="8" max="9" width="23.88671875" style="6" customWidth="1"/>
    <col min="10" max="10" width="13.44140625" style="6" bestFit="1" customWidth="1"/>
    <col min="11" max="11" width="18.44140625" style="6" customWidth="1"/>
    <col min="12" max="12" width="9.6640625" style="6" bestFit="1" customWidth="1"/>
    <col min="13" max="13" width="8.88671875" style="6"/>
    <col min="14" max="14" width="15.33203125" style="6" customWidth="1"/>
    <col min="15" max="15" width="13.44140625" style="6" bestFit="1" customWidth="1"/>
    <col min="16" max="24" width="8.88671875" style="6"/>
    <col min="25" max="25" width="12.109375" style="6" bestFit="1" customWidth="1"/>
    <col min="26" max="16384" width="8.88671875" style="6"/>
  </cols>
  <sheetData>
    <row r="1" spans="1:9" x14ac:dyDescent="0.3">
      <c r="A1" s="265" t="str">
        <f>+Front!B2</f>
        <v>THE METHODIST CHURCH GHANA</v>
      </c>
      <c r="B1" s="266"/>
      <c r="C1" s="266"/>
      <c r="D1" s="220"/>
      <c r="E1" s="220"/>
      <c r="F1" s="220"/>
      <c r="G1" s="220"/>
      <c r="H1" s="220"/>
      <c r="I1" s="221"/>
    </row>
    <row r="2" spans="1:9" x14ac:dyDescent="0.3">
      <c r="A2" s="267" t="str">
        <f>+Front!B3</f>
        <v>ACCRA NORTH DIOCESE</v>
      </c>
      <c r="B2" s="268"/>
      <c r="C2" s="268"/>
      <c r="D2" s="222"/>
      <c r="E2" s="222"/>
      <c r="F2" s="222"/>
      <c r="G2" s="222"/>
      <c r="H2" s="222"/>
      <c r="I2" s="223"/>
    </row>
    <row r="3" spans="1:9" x14ac:dyDescent="0.3">
      <c r="A3" s="267" t="str">
        <f>+Front!B4</f>
        <v>GA SUB-URBAN CIRCUIT</v>
      </c>
      <c r="B3" s="268"/>
      <c r="C3" s="268"/>
      <c r="D3" s="222"/>
      <c r="E3" s="222"/>
      <c r="F3" s="222"/>
      <c r="G3" s="222"/>
      <c r="H3" s="222"/>
      <c r="I3" s="223"/>
    </row>
    <row r="4" spans="1:9" x14ac:dyDescent="0.3">
      <c r="A4" s="267" t="str">
        <f>+Front!B5</f>
        <v>HEBRON  SOCIETY</v>
      </c>
      <c r="B4" s="268"/>
      <c r="C4" s="268"/>
      <c r="D4" s="222"/>
      <c r="E4" s="222"/>
      <c r="F4" s="222"/>
      <c r="G4" s="222"/>
      <c r="H4" s="222"/>
      <c r="I4" s="223"/>
    </row>
    <row r="5" spans="1:9" ht="16.2" thickBot="1" x14ac:dyDescent="0.35">
      <c r="A5" s="263" t="str">
        <f>+Front!B6</f>
        <v>STATEMENT OF ACCOUNT FOR THE PERIOD 1ST JANUARY,2024 TO 31ST DECEMBER,2024</v>
      </c>
      <c r="B5" s="264"/>
      <c r="C5" s="264"/>
      <c r="D5" s="218"/>
      <c r="E5" s="218"/>
      <c r="F5" s="218"/>
      <c r="G5" s="218"/>
      <c r="H5" s="218"/>
      <c r="I5" s="219"/>
    </row>
    <row r="6" spans="1:9" ht="19.5" hidden="1" customHeight="1" x14ac:dyDescent="0.3">
      <c r="A6" s="196"/>
      <c r="B6" s="193"/>
      <c r="C6" s="194"/>
      <c r="D6" s="208"/>
      <c r="E6" s="208"/>
      <c r="F6" s="208"/>
      <c r="G6" s="208"/>
      <c r="H6" s="197"/>
      <c r="I6" s="195"/>
    </row>
    <row r="7" spans="1:9" ht="19.5" customHeight="1" x14ac:dyDescent="0.3">
      <c r="A7" s="185"/>
      <c r="B7" s="186" t="s">
        <v>416</v>
      </c>
      <c r="C7" s="186" t="s">
        <v>262</v>
      </c>
      <c r="D7" s="186"/>
      <c r="E7" s="186"/>
      <c r="F7" s="186"/>
      <c r="G7" s="186" t="s">
        <v>204</v>
      </c>
      <c r="H7" s="186" t="s">
        <v>315</v>
      </c>
      <c r="I7" s="204" t="s">
        <v>31</v>
      </c>
    </row>
    <row r="8" spans="1:9" ht="19.5" customHeight="1" x14ac:dyDescent="0.3">
      <c r="A8" s="50"/>
      <c r="B8" s="61" t="s">
        <v>113</v>
      </c>
      <c r="C8" s="180" t="s">
        <v>113</v>
      </c>
      <c r="D8" s="180"/>
      <c r="E8" s="180"/>
      <c r="F8" s="180"/>
      <c r="G8" s="180" t="s">
        <v>113</v>
      </c>
      <c r="H8" s="180" t="s">
        <v>113</v>
      </c>
      <c r="I8" s="96" t="s">
        <v>113</v>
      </c>
    </row>
    <row r="9" spans="1:9" ht="19.5" hidden="1" customHeight="1" x14ac:dyDescent="0.3">
      <c r="A9" s="65"/>
      <c r="B9" s="57"/>
      <c r="C9" s="181"/>
      <c r="D9" s="181"/>
      <c r="E9" s="181"/>
      <c r="F9" s="181"/>
      <c r="G9" s="181"/>
      <c r="H9" s="83"/>
      <c r="I9" s="187"/>
    </row>
    <row r="10" spans="1:9" ht="19.5" customHeight="1" x14ac:dyDescent="0.3">
      <c r="A10" s="50" t="s">
        <v>5</v>
      </c>
      <c r="B10" s="57"/>
      <c r="C10" s="182"/>
      <c r="D10" s="182"/>
      <c r="E10" s="182"/>
      <c r="F10" s="182"/>
      <c r="G10" s="182"/>
      <c r="H10" s="83"/>
      <c r="I10" s="187"/>
    </row>
    <row r="11" spans="1:9" ht="19.5" customHeight="1" x14ac:dyDescent="0.3">
      <c r="A11" s="50" t="s">
        <v>184</v>
      </c>
      <c r="B11" s="57">
        <f>C75</f>
        <v>52205.88</v>
      </c>
      <c r="C11" s="57">
        <v>75100</v>
      </c>
      <c r="D11" s="57"/>
      <c r="E11" s="57"/>
      <c r="F11" s="57"/>
      <c r="G11" s="57"/>
      <c r="H11" s="83"/>
      <c r="I11" s="187"/>
    </row>
    <row r="12" spans="1:9" ht="19.5" customHeight="1" x14ac:dyDescent="0.3">
      <c r="A12" s="50" t="s">
        <v>263</v>
      </c>
      <c r="B12" s="57">
        <f>C76</f>
        <v>200</v>
      </c>
      <c r="C12" s="57">
        <v>0</v>
      </c>
      <c r="D12" s="57"/>
      <c r="E12" s="57"/>
      <c r="F12" s="57"/>
      <c r="G12" s="57"/>
      <c r="H12" s="83"/>
      <c r="I12" s="187"/>
    </row>
    <row r="13" spans="1:9" ht="19.5" customHeight="1" x14ac:dyDescent="0.3">
      <c r="A13" s="50" t="s">
        <v>10</v>
      </c>
      <c r="B13" s="57">
        <f>C77</f>
        <v>6557.7</v>
      </c>
      <c r="C13" s="57">
        <v>12166</v>
      </c>
      <c r="D13" s="57"/>
      <c r="E13" s="57"/>
      <c r="F13" s="57"/>
      <c r="G13" s="57">
        <v>8030</v>
      </c>
      <c r="H13" s="83"/>
      <c r="I13" s="187"/>
    </row>
    <row r="14" spans="1:9" ht="19.5" customHeight="1" x14ac:dyDescent="0.3">
      <c r="A14" s="50"/>
      <c r="B14" s="58">
        <f>+B12+B11+B13</f>
        <v>58963.579999999994</v>
      </c>
      <c r="C14" s="58">
        <v>87266</v>
      </c>
      <c r="D14" s="58"/>
      <c r="E14" s="58"/>
      <c r="F14" s="58"/>
      <c r="G14" s="58">
        <v>8030</v>
      </c>
      <c r="H14" s="83"/>
      <c r="I14" s="187"/>
    </row>
    <row r="15" spans="1:9" s="7" customFormat="1" ht="19.5" customHeight="1" x14ac:dyDescent="0.3">
      <c r="A15" s="63" t="s">
        <v>3</v>
      </c>
      <c r="B15" s="57"/>
      <c r="C15" s="181"/>
      <c r="D15" s="181"/>
      <c r="E15" s="181"/>
      <c r="F15" s="181"/>
      <c r="G15" s="181"/>
      <c r="H15" s="183"/>
      <c r="I15" s="188"/>
    </row>
    <row r="16" spans="1:9" ht="19.5" customHeight="1" x14ac:dyDescent="0.3">
      <c r="A16" s="50" t="s">
        <v>141</v>
      </c>
      <c r="B16" s="57">
        <f>+'RECEIPTS AND PAYMENT ANANLYSIS'!N8</f>
        <v>40490.5</v>
      </c>
      <c r="C16" s="57">
        <v>30724</v>
      </c>
      <c r="D16" s="57"/>
      <c r="E16" s="57"/>
      <c r="F16" s="57"/>
      <c r="G16" s="57">
        <v>19146.600000000002</v>
      </c>
      <c r="H16" s="83">
        <v>9074.2999999999993</v>
      </c>
      <c r="I16" s="189">
        <f>+B16+C16+H16+G16</f>
        <v>99435.400000000009</v>
      </c>
    </row>
    <row r="17" spans="1:9" ht="19.5" customHeight="1" x14ac:dyDescent="0.3">
      <c r="A17" s="50" t="s">
        <v>144</v>
      </c>
      <c r="B17" s="57">
        <f>+'RECEIPTS AND PAYMENT ANANLYSIS'!N9</f>
        <v>96711</v>
      </c>
      <c r="C17" s="57">
        <v>61571</v>
      </c>
      <c r="D17" s="57"/>
      <c r="E17" s="57"/>
      <c r="F17" s="57"/>
      <c r="G17" s="57">
        <v>46708</v>
      </c>
      <c r="H17" s="184">
        <v>13965</v>
      </c>
      <c r="I17" s="189">
        <f t="shared" ref="I17:I32" si="0">+B17+C17+H17+G17</f>
        <v>218955</v>
      </c>
    </row>
    <row r="18" spans="1:9" ht="19.5" customHeight="1" x14ac:dyDescent="0.3">
      <c r="A18" s="50" t="s">
        <v>150</v>
      </c>
      <c r="B18" s="57">
        <f>+'RECEIPTS AND PAYMENT ANANLYSIS'!N10</f>
        <v>2772.1</v>
      </c>
      <c r="C18" s="57">
        <v>4168.7</v>
      </c>
      <c r="D18" s="57"/>
      <c r="E18" s="57"/>
      <c r="F18" s="57"/>
      <c r="G18" s="57">
        <v>4350.8999999999996</v>
      </c>
      <c r="H18" s="184">
        <v>3617</v>
      </c>
      <c r="I18" s="189">
        <f t="shared" si="0"/>
        <v>14908.699999999999</v>
      </c>
    </row>
    <row r="19" spans="1:9" s="7" customFormat="1" ht="19.5" customHeight="1" x14ac:dyDescent="0.3">
      <c r="A19" s="50" t="s">
        <v>143</v>
      </c>
      <c r="B19" s="57">
        <f>+'RECEIPTS AND PAYMENT ANANLYSIS'!N11</f>
        <v>4490</v>
      </c>
      <c r="C19" s="57">
        <v>6414</v>
      </c>
      <c r="D19" s="57"/>
      <c r="E19" s="57"/>
      <c r="F19" s="57"/>
      <c r="G19" s="57">
        <v>1570</v>
      </c>
      <c r="H19" s="183">
        <v>140</v>
      </c>
      <c r="I19" s="189">
        <f t="shared" si="0"/>
        <v>12614</v>
      </c>
    </row>
    <row r="20" spans="1:9" s="7" customFormat="1" ht="19.5" customHeight="1" x14ac:dyDescent="0.3">
      <c r="A20" s="50" t="s">
        <v>107</v>
      </c>
      <c r="B20" s="57">
        <f>+'RECEIPTS AND PAYMENT ANANLYSIS'!N12</f>
        <v>238458.9</v>
      </c>
      <c r="C20" s="57">
        <v>150421</v>
      </c>
      <c r="D20" s="57"/>
      <c r="E20" s="57"/>
      <c r="F20" s="57"/>
      <c r="G20" s="57">
        <v>55750.8</v>
      </c>
      <c r="H20" s="183">
        <v>24354.3</v>
      </c>
      <c r="I20" s="189">
        <f t="shared" si="0"/>
        <v>468985</v>
      </c>
    </row>
    <row r="21" spans="1:9" s="7" customFormat="1" ht="19.5" customHeight="1" x14ac:dyDescent="0.3">
      <c r="A21" s="50" t="s">
        <v>6</v>
      </c>
      <c r="B21" s="57">
        <f>+'RECEIPTS AND PAYMENT ANANLYSIS'!N13</f>
        <v>4704.5</v>
      </c>
      <c r="C21" s="57">
        <v>0</v>
      </c>
      <c r="D21" s="57"/>
      <c r="E21" s="57"/>
      <c r="F21" s="57"/>
      <c r="G21" s="57">
        <v>0</v>
      </c>
      <c r="H21" s="183"/>
      <c r="I21" s="189">
        <f t="shared" si="0"/>
        <v>4704.5</v>
      </c>
    </row>
    <row r="22" spans="1:9" s="7" customFormat="1" ht="19.5" customHeight="1" x14ac:dyDescent="0.3">
      <c r="A22" s="50" t="s">
        <v>145</v>
      </c>
      <c r="B22" s="57">
        <f>+'RECEIPTS AND PAYMENT ANANLYSIS'!N14</f>
        <v>893</v>
      </c>
      <c r="C22" s="57">
        <v>1296</v>
      </c>
      <c r="D22" s="57"/>
      <c r="E22" s="57"/>
      <c r="F22" s="57"/>
      <c r="G22" s="57">
        <v>9245</v>
      </c>
      <c r="H22" s="183">
        <v>240</v>
      </c>
      <c r="I22" s="189">
        <f t="shared" si="0"/>
        <v>11674</v>
      </c>
    </row>
    <row r="23" spans="1:9" s="7" customFormat="1" ht="19.5" customHeight="1" x14ac:dyDescent="0.3">
      <c r="A23" s="50" t="s">
        <v>428</v>
      </c>
      <c r="B23" s="57">
        <f>+'RECEIPTS AND PAYMENT ANANLYSIS'!N15</f>
        <v>2429.6</v>
      </c>
      <c r="C23" s="57"/>
      <c r="D23" s="57"/>
      <c r="E23" s="57"/>
      <c r="F23" s="57"/>
      <c r="G23" s="57"/>
      <c r="H23" s="183"/>
      <c r="I23" s="189">
        <f t="shared" si="0"/>
        <v>2429.6</v>
      </c>
    </row>
    <row r="24" spans="1:9" s="7" customFormat="1" ht="19.5" hidden="1" customHeight="1" x14ac:dyDescent="0.3">
      <c r="A24" s="50" t="s">
        <v>146</v>
      </c>
      <c r="B24" s="57">
        <f>+'RECEIPTS AND PAYMENT ANANLYSIS'!N16</f>
        <v>671</v>
      </c>
      <c r="C24" s="57">
        <v>0</v>
      </c>
      <c r="D24" s="57"/>
      <c r="E24" s="57"/>
      <c r="F24" s="57"/>
      <c r="G24" s="57">
        <v>724</v>
      </c>
      <c r="H24" s="183">
        <v>242</v>
      </c>
      <c r="I24" s="189">
        <f t="shared" si="0"/>
        <v>1637</v>
      </c>
    </row>
    <row r="25" spans="1:9" s="7" customFormat="1" ht="19.5" customHeight="1" x14ac:dyDescent="0.3">
      <c r="A25" s="50" t="s">
        <v>147</v>
      </c>
      <c r="B25" s="57">
        <f>+'RECEIPTS AND PAYMENT ANANLYSIS'!N17</f>
        <v>1011</v>
      </c>
      <c r="C25" s="57">
        <v>0</v>
      </c>
      <c r="D25" s="57"/>
      <c r="E25" s="57"/>
      <c r="F25" s="57"/>
      <c r="G25" s="57">
        <v>0</v>
      </c>
      <c r="H25" s="183"/>
      <c r="I25" s="189">
        <f t="shared" si="0"/>
        <v>1011</v>
      </c>
    </row>
    <row r="26" spans="1:9" s="7" customFormat="1" ht="19.5" customHeight="1" x14ac:dyDescent="0.3">
      <c r="A26" s="50" t="s">
        <v>148</v>
      </c>
      <c r="B26" s="57">
        <f>+'RECEIPTS AND PAYMENT ANANLYSIS'!N18</f>
        <v>0</v>
      </c>
      <c r="C26" s="57">
        <v>242</v>
      </c>
      <c r="D26" s="57"/>
      <c r="E26" s="57"/>
      <c r="F26" s="57"/>
      <c r="G26" s="57">
        <v>40</v>
      </c>
      <c r="H26" s="316">
        <v>1450</v>
      </c>
      <c r="I26" s="189">
        <f t="shared" si="0"/>
        <v>1732</v>
      </c>
    </row>
    <row r="27" spans="1:9" s="7" customFormat="1" ht="19.5" customHeight="1" x14ac:dyDescent="0.3">
      <c r="A27" s="50" t="s">
        <v>151</v>
      </c>
      <c r="B27" s="57">
        <f>+'RECEIPTS AND PAYMENT ANANLYSIS'!N19</f>
        <v>1190</v>
      </c>
      <c r="C27" s="57">
        <v>140</v>
      </c>
      <c r="D27" s="57"/>
      <c r="E27" s="57"/>
      <c r="F27" s="57"/>
      <c r="G27" s="57">
        <v>647</v>
      </c>
      <c r="H27" s="183"/>
      <c r="I27" s="189">
        <f t="shared" si="0"/>
        <v>1977</v>
      </c>
    </row>
    <row r="28" spans="1:9" s="7" customFormat="1" ht="19.5" customHeight="1" x14ac:dyDescent="0.3">
      <c r="A28" s="50" t="s">
        <v>439</v>
      </c>
      <c r="B28" s="57">
        <f>+'RECEIPTS AND PAYMENT ANANLYSIS'!N20</f>
        <v>2610</v>
      </c>
      <c r="C28" s="57">
        <v>0</v>
      </c>
      <c r="D28" s="57"/>
      <c r="E28" s="57"/>
      <c r="F28" s="57"/>
      <c r="G28" s="57">
        <v>0</v>
      </c>
      <c r="H28" s="183">
        <v>13000</v>
      </c>
      <c r="I28" s="189">
        <f t="shared" si="0"/>
        <v>15610</v>
      </c>
    </row>
    <row r="29" spans="1:9" s="7" customFormat="1" ht="19.5" hidden="1" customHeight="1" x14ac:dyDescent="0.3">
      <c r="A29" s="50" t="s">
        <v>211</v>
      </c>
      <c r="B29" s="57">
        <f>+'RECEIPTS AND PAYMENT ANANLYSIS'!N21</f>
        <v>0</v>
      </c>
      <c r="C29" s="57">
        <v>0</v>
      </c>
      <c r="D29" s="57"/>
      <c r="E29" s="57"/>
      <c r="F29" s="57"/>
      <c r="G29" s="57">
        <v>80</v>
      </c>
      <c r="H29" s="183"/>
      <c r="I29" s="189">
        <f t="shared" si="0"/>
        <v>80</v>
      </c>
    </row>
    <row r="30" spans="1:9" s="7" customFormat="1" ht="19.5" hidden="1" customHeight="1" x14ac:dyDescent="0.3">
      <c r="A30" s="50" t="s">
        <v>183</v>
      </c>
      <c r="B30" s="57">
        <f>+'RECEIPTS AND PAYMENT ANANLYSIS'!N22</f>
        <v>0</v>
      </c>
      <c r="C30" s="57">
        <v>0</v>
      </c>
      <c r="D30" s="57"/>
      <c r="E30" s="57"/>
      <c r="F30" s="57"/>
      <c r="G30" s="57">
        <v>0</v>
      </c>
      <c r="H30" s="183">
        <v>140</v>
      </c>
      <c r="I30" s="189">
        <f t="shared" si="0"/>
        <v>140</v>
      </c>
    </row>
    <row r="31" spans="1:9" s="7" customFormat="1" ht="19.5" customHeight="1" x14ac:dyDescent="0.3">
      <c r="A31" s="50" t="s">
        <v>209</v>
      </c>
      <c r="B31" s="57">
        <f>+'RECEIPTS AND PAYMENT ANANLYSIS'!N23</f>
        <v>0</v>
      </c>
      <c r="C31" s="57">
        <v>2011.5</v>
      </c>
      <c r="D31" s="57"/>
      <c r="E31" s="57"/>
      <c r="F31" s="57"/>
      <c r="G31" s="57">
        <v>237</v>
      </c>
      <c r="H31" s="183"/>
      <c r="I31" s="189">
        <f t="shared" si="0"/>
        <v>2248.5</v>
      </c>
    </row>
    <row r="32" spans="1:9" s="7" customFormat="1" ht="19.5" customHeight="1" x14ac:dyDescent="0.3">
      <c r="A32" s="50" t="s">
        <v>210</v>
      </c>
      <c r="B32" s="57">
        <f>+'RECEIPTS AND PAYMENT ANANLYSIS'!N24</f>
        <v>535</v>
      </c>
      <c r="C32" s="57">
        <v>1220</v>
      </c>
      <c r="D32" s="57"/>
      <c r="E32" s="57"/>
      <c r="F32" s="57"/>
      <c r="G32" s="57">
        <v>474.5</v>
      </c>
      <c r="H32" s="183"/>
      <c r="I32" s="189">
        <f t="shared" si="0"/>
        <v>2229.5</v>
      </c>
    </row>
    <row r="33" spans="1:9" s="7" customFormat="1" ht="19.5" customHeight="1" x14ac:dyDescent="0.3">
      <c r="A33" s="64" t="s">
        <v>110</v>
      </c>
      <c r="B33" s="58">
        <f>SUM(B16:B32)</f>
        <v>396966.6</v>
      </c>
      <c r="C33" s="58">
        <v>258208.2</v>
      </c>
      <c r="D33" s="58"/>
      <c r="E33" s="58"/>
      <c r="F33" s="58"/>
      <c r="G33" s="58">
        <f>SUM(G16:G32)</f>
        <v>138973.79999999999</v>
      </c>
      <c r="H33" s="58">
        <f>SUM(H16:H32)</f>
        <v>66222.600000000006</v>
      </c>
      <c r="I33" s="90">
        <f>SUM(I16:I32)</f>
        <v>860371.20000000007</v>
      </c>
    </row>
    <row r="34" spans="1:9" s="7" customFormat="1" ht="19.5" customHeight="1" x14ac:dyDescent="0.3">
      <c r="A34" s="50"/>
      <c r="B34" s="57"/>
      <c r="C34" s="179"/>
      <c r="D34" s="179"/>
      <c r="E34" s="179"/>
      <c r="F34" s="179"/>
      <c r="G34" s="179"/>
      <c r="H34" s="183"/>
      <c r="I34" s="188"/>
    </row>
    <row r="35" spans="1:9" ht="19.5" hidden="1" customHeight="1" x14ac:dyDescent="0.3">
      <c r="A35" s="50"/>
      <c r="B35" s="57"/>
      <c r="C35" s="181"/>
      <c r="D35" s="181"/>
      <c r="E35" s="181"/>
      <c r="F35" s="181"/>
      <c r="G35" s="181"/>
      <c r="H35" s="83"/>
      <c r="I35" s="187"/>
    </row>
    <row r="36" spans="1:9" s="7" customFormat="1" ht="19.5" customHeight="1" x14ac:dyDescent="0.3">
      <c r="A36" s="63" t="s">
        <v>7</v>
      </c>
      <c r="B36" s="57"/>
      <c r="C36" s="181"/>
      <c r="D36" s="181"/>
      <c r="E36" s="181"/>
      <c r="F36" s="181"/>
      <c r="G36" s="181"/>
      <c r="H36" s="183"/>
      <c r="I36" s="188"/>
    </row>
    <row r="37" spans="1:9" s="7" customFormat="1" ht="19.5" customHeight="1" x14ac:dyDescent="0.3">
      <c r="A37" s="50" t="s">
        <v>152</v>
      </c>
      <c r="B37" s="57">
        <f>+'RECEIPTS AND PAYMENT ANANLYSIS'!N30</f>
        <v>15000</v>
      </c>
      <c r="C37" s="181">
        <v>11035</v>
      </c>
      <c r="D37" s="181"/>
      <c r="E37" s="181"/>
      <c r="F37" s="181"/>
      <c r="G37" s="181">
        <v>8400</v>
      </c>
      <c r="H37" s="183">
        <v>750</v>
      </c>
      <c r="I37" s="188">
        <f>+B37+C37+H37+G37</f>
        <v>35185</v>
      </c>
    </row>
    <row r="38" spans="1:9" s="7" customFormat="1" ht="19.5" customHeight="1" x14ac:dyDescent="0.3">
      <c r="A38" s="50" t="s">
        <v>9</v>
      </c>
      <c r="B38" s="57">
        <f>+'RECEIPTS AND PAYMENT ANANLYSIS'!N31</f>
        <v>2700</v>
      </c>
      <c r="C38" s="181">
        <v>1825</v>
      </c>
      <c r="D38" s="181"/>
      <c r="E38" s="181"/>
      <c r="F38" s="181"/>
      <c r="G38" s="181">
        <v>285</v>
      </c>
      <c r="H38" s="183"/>
      <c r="I38" s="188">
        <f t="shared" ref="I38:I68" si="1">+B38+C38+H38+G38</f>
        <v>4810</v>
      </c>
    </row>
    <row r="39" spans="1:9" s="7" customFormat="1" ht="19.5" customHeight="1" x14ac:dyDescent="0.3">
      <c r="A39" s="50" t="s">
        <v>6</v>
      </c>
      <c r="B39" s="57">
        <f>+'RECEIPTS AND PAYMENT ANANLYSIS'!N32</f>
        <v>4200</v>
      </c>
      <c r="C39" s="181">
        <v>4100</v>
      </c>
      <c r="D39" s="181"/>
      <c r="E39" s="181"/>
      <c r="F39" s="181"/>
      <c r="G39" s="181">
        <v>250</v>
      </c>
      <c r="H39" s="183">
        <v>200</v>
      </c>
      <c r="I39" s="188">
        <f t="shared" si="1"/>
        <v>8750</v>
      </c>
    </row>
    <row r="40" spans="1:9" s="7" customFormat="1" ht="19.5" customHeight="1" x14ac:dyDescent="0.3">
      <c r="A40" s="50" t="s">
        <v>166</v>
      </c>
      <c r="B40" s="57">
        <f>+'RECEIPTS AND PAYMENT ANANLYSIS'!N33</f>
        <v>28407.5</v>
      </c>
      <c r="C40" s="181">
        <v>0</v>
      </c>
      <c r="D40" s="181"/>
      <c r="E40" s="181"/>
      <c r="F40" s="181"/>
      <c r="G40" s="181">
        <v>540</v>
      </c>
      <c r="H40" s="183">
        <v>500</v>
      </c>
      <c r="I40" s="188">
        <f>+B40+C40+H40+G40</f>
        <v>29447.5</v>
      </c>
    </row>
    <row r="41" spans="1:9" s="7" customFormat="1" ht="19.5" customHeight="1" x14ac:dyDescent="0.3">
      <c r="A41" s="50" t="s">
        <v>167</v>
      </c>
      <c r="B41" s="57">
        <f>+'RECEIPTS AND PAYMENT ANANLYSIS'!N34</f>
        <v>11798</v>
      </c>
      <c r="C41" s="181">
        <v>0</v>
      </c>
      <c r="D41" s="181"/>
      <c r="E41" s="181"/>
      <c r="F41" s="181"/>
      <c r="G41" s="181">
        <v>8390</v>
      </c>
      <c r="H41" s="183">
        <v>630</v>
      </c>
      <c r="I41" s="188">
        <f t="shared" si="1"/>
        <v>20818</v>
      </c>
    </row>
    <row r="42" spans="1:9" s="7" customFormat="1" ht="19.5" customHeight="1" x14ac:dyDescent="0.3">
      <c r="A42" s="50" t="s">
        <v>257</v>
      </c>
      <c r="B42" s="57">
        <f>+'RECEIPTS AND PAYMENT ANANLYSIS'!N35</f>
        <v>671</v>
      </c>
      <c r="C42" s="181">
        <v>2224</v>
      </c>
      <c r="D42" s="181"/>
      <c r="E42" s="181"/>
      <c r="F42" s="181"/>
      <c r="G42" s="181">
        <v>2729</v>
      </c>
      <c r="H42" s="183">
        <v>242</v>
      </c>
      <c r="I42" s="188">
        <f t="shared" si="1"/>
        <v>5866</v>
      </c>
    </row>
    <row r="43" spans="1:9" s="7" customFormat="1" ht="19.5" customHeight="1" x14ac:dyDescent="0.3">
      <c r="A43" s="50" t="s">
        <v>169</v>
      </c>
      <c r="B43" s="57">
        <f>+'RECEIPTS AND PAYMENT ANANLYSIS'!N36</f>
        <v>0</v>
      </c>
      <c r="C43" s="181">
        <v>242</v>
      </c>
      <c r="D43" s="181"/>
      <c r="E43" s="181"/>
      <c r="F43" s="181"/>
      <c r="G43" s="181">
        <v>0</v>
      </c>
      <c r="H43" s="183"/>
      <c r="I43" s="188">
        <f t="shared" si="1"/>
        <v>242</v>
      </c>
    </row>
    <row r="44" spans="1:9" s="7" customFormat="1" ht="19.5" customHeight="1" x14ac:dyDescent="0.3">
      <c r="A44" s="50" t="s">
        <v>147</v>
      </c>
      <c r="B44" s="57">
        <f>+'RECEIPTS AND PAYMENT ANANLYSIS'!N37</f>
        <v>1199</v>
      </c>
      <c r="C44" s="181">
        <v>0</v>
      </c>
      <c r="D44" s="181"/>
      <c r="E44" s="181"/>
      <c r="F44" s="181"/>
      <c r="G44" s="181">
        <v>0</v>
      </c>
      <c r="H44" s="183"/>
      <c r="I44" s="188">
        <f t="shared" si="1"/>
        <v>1199</v>
      </c>
    </row>
    <row r="45" spans="1:9" s="7" customFormat="1" ht="19.5" customHeight="1" x14ac:dyDescent="0.3">
      <c r="A45" s="50" t="s">
        <v>413</v>
      </c>
      <c r="B45" s="57">
        <f>+'RECEIPTS AND PAYMENT ANANLYSIS'!N38</f>
        <v>3050</v>
      </c>
      <c r="C45" s="181">
        <v>5000</v>
      </c>
      <c r="D45" s="181"/>
      <c r="E45" s="181"/>
      <c r="F45" s="181"/>
      <c r="G45" s="181">
        <v>800</v>
      </c>
      <c r="H45" s="183"/>
      <c r="I45" s="188">
        <f t="shared" si="1"/>
        <v>8850</v>
      </c>
    </row>
    <row r="46" spans="1:9" s="7" customFormat="1" ht="19.5" customHeight="1" x14ac:dyDescent="0.3">
      <c r="A46" s="50" t="s">
        <v>160</v>
      </c>
      <c r="B46" s="57">
        <f>+'RECEIPTS AND PAYMENT ANANLYSIS'!N39</f>
        <v>0</v>
      </c>
      <c r="C46" s="181">
        <v>0</v>
      </c>
      <c r="D46" s="181"/>
      <c r="E46" s="181"/>
      <c r="F46" s="181"/>
      <c r="G46" s="181">
        <v>0</v>
      </c>
      <c r="H46" s="183"/>
      <c r="I46" s="188">
        <f t="shared" si="1"/>
        <v>0</v>
      </c>
    </row>
    <row r="47" spans="1:9" s="7" customFormat="1" ht="19.5" customHeight="1" x14ac:dyDescent="0.3">
      <c r="A47" s="50" t="s">
        <v>173</v>
      </c>
      <c r="B47" s="57">
        <f>+'RECEIPTS AND PAYMENT ANANLYSIS'!N40</f>
        <v>2110</v>
      </c>
      <c r="C47" s="181">
        <v>2420</v>
      </c>
      <c r="D47" s="181"/>
      <c r="E47" s="181"/>
      <c r="F47" s="181"/>
      <c r="G47" s="181">
        <v>1403</v>
      </c>
      <c r="H47" s="183">
        <v>2230</v>
      </c>
      <c r="I47" s="188">
        <f t="shared" si="1"/>
        <v>8163</v>
      </c>
    </row>
    <row r="48" spans="1:9" s="7" customFormat="1" ht="19.5" customHeight="1" x14ac:dyDescent="0.3">
      <c r="A48" s="50" t="s">
        <v>38</v>
      </c>
      <c r="B48" s="57">
        <f>+'RECEIPTS AND PAYMENT ANANLYSIS'!N41</f>
        <v>0</v>
      </c>
      <c r="C48" s="181">
        <v>1233</v>
      </c>
      <c r="D48" s="181"/>
      <c r="E48" s="181"/>
      <c r="F48" s="181"/>
      <c r="G48" s="181">
        <v>0</v>
      </c>
      <c r="H48" s="183"/>
      <c r="I48" s="188">
        <f t="shared" si="1"/>
        <v>1233</v>
      </c>
    </row>
    <row r="49" spans="1:9" s="7" customFormat="1" ht="19.5" customHeight="1" x14ac:dyDescent="0.3">
      <c r="A49" s="50" t="s">
        <v>440</v>
      </c>
      <c r="B49" s="57">
        <f>+'RECEIPTS AND PAYMENT ANANLYSIS'!N42</f>
        <v>600</v>
      </c>
      <c r="C49" s="181">
        <v>270</v>
      </c>
      <c r="D49" s="181"/>
      <c r="E49" s="181"/>
      <c r="F49" s="181"/>
      <c r="G49" s="181">
        <v>0</v>
      </c>
      <c r="H49" s="183"/>
      <c r="I49" s="188">
        <f t="shared" si="1"/>
        <v>870</v>
      </c>
    </row>
    <row r="50" spans="1:9" s="7" customFormat="1" ht="19.5" customHeight="1" x14ac:dyDescent="0.3">
      <c r="A50" s="50" t="s">
        <v>170</v>
      </c>
      <c r="B50" s="57">
        <f>+'RECEIPTS AND PAYMENT ANANLYSIS'!N43</f>
        <v>66200</v>
      </c>
      <c r="C50" s="181">
        <v>0</v>
      </c>
      <c r="D50" s="181"/>
      <c r="E50" s="181"/>
      <c r="F50" s="181"/>
      <c r="G50" s="181">
        <v>1950</v>
      </c>
      <c r="H50" s="183">
        <v>44500</v>
      </c>
      <c r="I50" s="188">
        <f t="shared" si="1"/>
        <v>112650</v>
      </c>
    </row>
    <row r="51" spans="1:9" s="7" customFormat="1" ht="19.5" customHeight="1" x14ac:dyDescent="0.3">
      <c r="A51" s="50" t="s">
        <v>249</v>
      </c>
      <c r="B51" s="57">
        <f>+'RECEIPTS AND PAYMENT ANANLYSIS'!N44</f>
        <v>600</v>
      </c>
      <c r="C51" s="181">
        <v>565</v>
      </c>
      <c r="D51" s="181"/>
      <c r="E51" s="181"/>
      <c r="F51" s="181"/>
      <c r="G51" s="181">
        <v>6904.3</v>
      </c>
      <c r="H51" s="183"/>
      <c r="I51" s="188">
        <f t="shared" si="1"/>
        <v>8069.3</v>
      </c>
    </row>
    <row r="52" spans="1:9" s="7" customFormat="1" ht="19.5" customHeight="1" x14ac:dyDescent="0.3">
      <c r="A52" s="50" t="s">
        <v>172</v>
      </c>
      <c r="B52" s="57">
        <f>+'RECEIPTS AND PAYMENT ANANLYSIS'!N45</f>
        <v>480</v>
      </c>
      <c r="C52" s="181">
        <v>0</v>
      </c>
      <c r="D52" s="181"/>
      <c r="E52" s="181"/>
      <c r="F52" s="181"/>
      <c r="G52" s="181">
        <v>0</v>
      </c>
      <c r="H52" s="183"/>
      <c r="I52" s="188">
        <f t="shared" si="1"/>
        <v>480</v>
      </c>
    </row>
    <row r="53" spans="1:9" s="7" customFormat="1" ht="19.5" customHeight="1" x14ac:dyDescent="0.3">
      <c r="A53" s="50" t="s">
        <v>164</v>
      </c>
      <c r="B53" s="57">
        <f>+'RECEIPTS AND PAYMENT ANANLYSIS'!N46</f>
        <v>5300</v>
      </c>
      <c r="C53" s="181">
        <v>0</v>
      </c>
      <c r="D53" s="181"/>
      <c r="E53" s="181"/>
      <c r="F53" s="181"/>
      <c r="G53" s="181">
        <v>100</v>
      </c>
      <c r="H53" s="183"/>
      <c r="I53" s="188">
        <f t="shared" si="1"/>
        <v>5400</v>
      </c>
    </row>
    <row r="54" spans="1:9" s="7" customFormat="1" ht="19.5" customHeight="1" x14ac:dyDescent="0.3">
      <c r="A54" s="50" t="s">
        <v>265</v>
      </c>
      <c r="B54" s="57">
        <f>+'RECEIPTS AND PAYMENT ANANLYSIS'!N47</f>
        <v>259100</v>
      </c>
      <c r="C54" s="181">
        <v>254940</v>
      </c>
      <c r="D54" s="181"/>
      <c r="E54" s="181"/>
      <c r="F54" s="181"/>
      <c r="G54" s="181">
        <v>0</v>
      </c>
      <c r="H54" s="183"/>
      <c r="I54" s="188">
        <f t="shared" si="1"/>
        <v>514040</v>
      </c>
    </row>
    <row r="55" spans="1:9" s="7" customFormat="1" ht="19.5" customHeight="1" x14ac:dyDescent="0.3">
      <c r="A55" s="50" t="s">
        <v>165</v>
      </c>
      <c r="B55" s="57">
        <f>+'RECEIPTS AND PAYMENT ANANLYSIS'!N48</f>
        <v>0</v>
      </c>
      <c r="C55" s="181">
        <v>0</v>
      </c>
      <c r="D55" s="181"/>
      <c r="E55" s="181"/>
      <c r="F55" s="181"/>
      <c r="G55" s="181">
        <v>26740</v>
      </c>
      <c r="H55" s="183">
        <v>9000</v>
      </c>
      <c r="I55" s="188">
        <f t="shared" si="1"/>
        <v>35740</v>
      </c>
    </row>
    <row r="56" spans="1:9" ht="19.5" customHeight="1" x14ac:dyDescent="0.3">
      <c r="A56" s="50" t="s">
        <v>183</v>
      </c>
      <c r="B56" s="57">
        <f>+'RECEIPTS AND PAYMENT ANANLYSIS'!N49</f>
        <v>0</v>
      </c>
      <c r="C56" s="181">
        <v>0</v>
      </c>
      <c r="D56" s="181"/>
      <c r="E56" s="181"/>
      <c r="F56" s="181"/>
      <c r="G56" s="181">
        <v>0</v>
      </c>
      <c r="H56" s="83">
        <v>140</v>
      </c>
      <c r="I56" s="188">
        <f t="shared" si="1"/>
        <v>140</v>
      </c>
    </row>
    <row r="57" spans="1:9" ht="19.5" customHeight="1" x14ac:dyDescent="0.3">
      <c r="A57" s="50" t="s">
        <v>109</v>
      </c>
      <c r="B57" s="57">
        <f>+'RECEIPTS AND PAYMENT ANANLYSIS'!N55</f>
        <v>231.2</v>
      </c>
      <c r="C57" s="181">
        <v>35.119999999999997</v>
      </c>
      <c r="D57" s="181"/>
      <c r="E57" s="181"/>
      <c r="F57" s="181"/>
      <c r="G57" s="181">
        <v>0</v>
      </c>
      <c r="H57" s="83"/>
      <c r="I57" s="188">
        <f t="shared" si="1"/>
        <v>266.32</v>
      </c>
    </row>
    <row r="58" spans="1:9" ht="19.5" customHeight="1" x14ac:dyDescent="0.3">
      <c r="A58" s="50" t="s">
        <v>185</v>
      </c>
      <c r="B58" s="57">
        <f>+'RECEIPTS AND PAYMENT ANANLYSIS'!N50</f>
        <v>1900</v>
      </c>
      <c r="C58" s="181">
        <v>0</v>
      </c>
      <c r="D58" s="181"/>
      <c r="E58" s="181"/>
      <c r="F58" s="181"/>
      <c r="G58" s="181">
        <v>325</v>
      </c>
      <c r="H58" s="83"/>
      <c r="I58" s="188">
        <f t="shared" si="1"/>
        <v>2225</v>
      </c>
    </row>
    <row r="59" spans="1:9" ht="19.5" customHeight="1" x14ac:dyDescent="0.3">
      <c r="A59" s="50" t="s">
        <v>209</v>
      </c>
      <c r="B59" s="57">
        <f>+'RECEIPTS AND PAYMENT ANANLYSIS'!N51</f>
        <v>0</v>
      </c>
      <c r="C59" s="181">
        <v>2011.5</v>
      </c>
      <c r="D59" s="181"/>
      <c r="E59" s="181"/>
      <c r="F59" s="181"/>
      <c r="G59" s="181">
        <v>684</v>
      </c>
      <c r="H59" s="83"/>
      <c r="I59" s="188">
        <f t="shared" si="1"/>
        <v>2695.5</v>
      </c>
    </row>
    <row r="60" spans="1:9" ht="19.5" customHeight="1" x14ac:dyDescent="0.3">
      <c r="A60" s="50" t="s">
        <v>210</v>
      </c>
      <c r="B60" s="57">
        <f>+'RECEIPTS AND PAYMENT ANANLYSIS'!N52</f>
        <v>275</v>
      </c>
      <c r="C60" s="181">
        <v>610</v>
      </c>
      <c r="D60" s="181"/>
      <c r="E60" s="181"/>
      <c r="F60" s="181"/>
      <c r="G60" s="181">
        <v>237.5</v>
      </c>
      <c r="H60" s="83"/>
      <c r="I60" s="188">
        <f t="shared" si="1"/>
        <v>1122.5</v>
      </c>
    </row>
    <row r="61" spans="1:9" ht="19.5" customHeight="1" x14ac:dyDescent="0.3">
      <c r="A61" s="50" t="s">
        <v>446</v>
      </c>
      <c r="B61" s="57">
        <f>'RECEIPTS AND PAYMENT ANANLYSIS'!N56</f>
        <v>7200</v>
      </c>
      <c r="C61" s="181"/>
      <c r="D61" s="181"/>
      <c r="E61" s="181"/>
      <c r="F61" s="181"/>
      <c r="G61" s="181"/>
      <c r="H61" s="83"/>
      <c r="I61" s="188">
        <f t="shared" si="1"/>
        <v>7200</v>
      </c>
    </row>
    <row r="62" spans="1:9" ht="19.5" customHeight="1" x14ac:dyDescent="0.3">
      <c r="A62" s="50" t="s">
        <v>447</v>
      </c>
      <c r="B62" s="57">
        <f>'RECEIPTS AND PAYMENT ANANLYSIS'!N57</f>
        <v>4700</v>
      </c>
      <c r="C62" s="181"/>
      <c r="D62" s="181"/>
      <c r="E62" s="181"/>
      <c r="F62" s="181"/>
      <c r="G62" s="181"/>
      <c r="H62" s="83"/>
      <c r="I62" s="188">
        <f t="shared" si="1"/>
        <v>4700</v>
      </c>
    </row>
    <row r="63" spans="1:9" ht="19.5" customHeight="1" x14ac:dyDescent="0.3">
      <c r="A63" s="50" t="s">
        <v>478</v>
      </c>
      <c r="B63" s="57">
        <f>Expend!O55</f>
        <v>16495.78</v>
      </c>
      <c r="C63" s="181"/>
      <c r="D63" s="181"/>
      <c r="E63" s="181"/>
      <c r="F63" s="181"/>
      <c r="G63" s="181"/>
      <c r="H63" s="83"/>
      <c r="I63" s="188">
        <f t="shared" si="1"/>
        <v>16495.78</v>
      </c>
    </row>
    <row r="64" spans="1:9" ht="19.5" customHeight="1" x14ac:dyDescent="0.3">
      <c r="A64" s="50" t="s">
        <v>479</v>
      </c>
      <c r="B64" s="57">
        <f>Expend!O50</f>
        <v>3500</v>
      </c>
      <c r="C64" s="181"/>
      <c r="D64" s="181"/>
      <c r="E64" s="181"/>
      <c r="F64" s="181"/>
      <c r="G64" s="181"/>
      <c r="H64" s="83"/>
      <c r="I64" s="188">
        <f>+B64+C64+H64+G64</f>
        <v>3500</v>
      </c>
    </row>
    <row r="65" spans="1:25" ht="19.5" customHeight="1" x14ac:dyDescent="0.3">
      <c r="A65" s="50"/>
      <c r="B65" s="57"/>
      <c r="C65" s="181"/>
      <c r="D65" s="181"/>
      <c r="E65" s="181"/>
      <c r="F65" s="181"/>
      <c r="G65" s="181"/>
      <c r="H65" s="83"/>
      <c r="I65" s="188">
        <f t="shared" si="1"/>
        <v>0</v>
      </c>
    </row>
    <row r="66" spans="1:25" ht="19.2" customHeight="1" x14ac:dyDescent="0.3">
      <c r="A66" s="50"/>
      <c r="B66" s="57"/>
      <c r="C66" s="181"/>
      <c r="D66" s="181"/>
      <c r="E66" s="181"/>
      <c r="F66" s="181"/>
      <c r="G66" s="181"/>
      <c r="H66" s="83"/>
      <c r="I66" s="188">
        <f t="shared" si="1"/>
        <v>0</v>
      </c>
    </row>
    <row r="67" spans="1:25" ht="19.5" hidden="1" customHeight="1" x14ac:dyDescent="0.3">
      <c r="A67" s="50"/>
      <c r="B67" s="57"/>
      <c r="C67" s="181"/>
      <c r="D67" s="181"/>
      <c r="E67" s="181"/>
      <c r="F67" s="181"/>
      <c r="G67" s="181"/>
      <c r="H67" s="83"/>
      <c r="I67" s="188">
        <f t="shared" si="1"/>
        <v>0</v>
      </c>
    </row>
    <row r="68" spans="1:25" ht="19.5" hidden="1" customHeight="1" x14ac:dyDescent="0.3">
      <c r="A68" s="50"/>
      <c r="B68" s="57"/>
      <c r="C68" s="181"/>
      <c r="D68" s="181"/>
      <c r="E68" s="181"/>
      <c r="F68" s="181"/>
      <c r="G68" s="181"/>
      <c r="H68" s="83"/>
      <c r="I68" s="188">
        <f t="shared" si="1"/>
        <v>0</v>
      </c>
    </row>
    <row r="69" spans="1:25" ht="19.5" customHeight="1" x14ac:dyDescent="0.3">
      <c r="A69" s="64" t="s">
        <v>111</v>
      </c>
      <c r="B69" s="58">
        <f>SUM(B37:B68)</f>
        <v>435717.48</v>
      </c>
      <c r="C69" s="58">
        <f>SUM(C37:C68)</f>
        <v>286510.62</v>
      </c>
      <c r="D69" s="58"/>
      <c r="E69" s="58"/>
      <c r="F69" s="58"/>
      <c r="G69" s="58">
        <f>SUM(G37:G68)</f>
        <v>59737.8</v>
      </c>
      <c r="H69" s="58">
        <f>SUM(H37:H68)</f>
        <v>58192</v>
      </c>
      <c r="I69" s="90">
        <f>SUM(I37:I68)</f>
        <v>840157.9</v>
      </c>
    </row>
    <row r="70" spans="1:25" ht="19.5" customHeight="1" x14ac:dyDescent="0.3">
      <c r="A70" s="50"/>
      <c r="B70" s="57"/>
      <c r="C70" s="181"/>
      <c r="D70" s="181"/>
      <c r="E70" s="181"/>
      <c r="F70" s="181"/>
      <c r="G70" s="181"/>
      <c r="H70" s="184"/>
      <c r="I70" s="187"/>
    </row>
    <row r="71" spans="1:25" ht="19.5" customHeight="1" thickBot="1" x14ac:dyDescent="0.35">
      <c r="A71" s="97" t="s">
        <v>35</v>
      </c>
      <c r="B71" s="98">
        <f>B33-B69</f>
        <v>-38750.880000000005</v>
      </c>
      <c r="C71" s="203">
        <f>C33-C69</f>
        <v>-28302.419999999984</v>
      </c>
      <c r="D71" s="203"/>
      <c r="E71" s="203"/>
      <c r="F71" s="203"/>
      <c r="G71" s="203">
        <f>G33-G69</f>
        <v>79235.999999999985</v>
      </c>
      <c r="H71" s="203">
        <f>H33-H69</f>
        <v>8030.6000000000058</v>
      </c>
      <c r="I71" s="99">
        <f>I33-I69</f>
        <v>20213.300000000047</v>
      </c>
      <c r="K71" s="55"/>
    </row>
    <row r="72" spans="1:25" ht="19.5" hidden="1" customHeight="1" x14ac:dyDescent="0.3">
      <c r="A72" s="120"/>
      <c r="B72" s="95"/>
      <c r="C72" s="201"/>
      <c r="D72" s="209"/>
      <c r="E72" s="209"/>
      <c r="F72" s="209"/>
      <c r="G72" s="209"/>
      <c r="H72" s="202"/>
      <c r="I72" s="195"/>
      <c r="K72" s="6">
        <v>200</v>
      </c>
    </row>
    <row r="73" spans="1:25" ht="19.5" customHeight="1" x14ac:dyDescent="0.3">
      <c r="A73" s="121"/>
      <c r="B73" s="62"/>
      <c r="C73" s="198"/>
      <c r="D73" s="210"/>
      <c r="E73" s="210"/>
      <c r="F73" s="210"/>
      <c r="G73" s="210"/>
      <c r="H73" s="199"/>
      <c r="I73" s="195"/>
    </row>
    <row r="74" spans="1:25" s="7" customFormat="1" ht="19.5" customHeight="1" thickBot="1" x14ac:dyDescent="0.35">
      <c r="A74" s="261" t="s">
        <v>475</v>
      </c>
      <c r="B74" s="262"/>
      <c r="C74" s="262"/>
      <c r="D74" s="216"/>
      <c r="E74" s="216"/>
      <c r="F74" s="216"/>
      <c r="G74" s="216"/>
      <c r="H74" s="216"/>
      <c r="I74" s="217"/>
      <c r="Y74" s="7">
        <v>2850</v>
      </c>
    </row>
    <row r="75" spans="1:25" s="7" customFormat="1" ht="19.5" customHeight="1" x14ac:dyDescent="0.3">
      <c r="A75" s="185" t="s">
        <v>186</v>
      </c>
      <c r="B75" s="205">
        <f>'CASH BOOK'!L26</f>
        <v>14173.5</v>
      </c>
      <c r="C75" s="205">
        <v>52205.88</v>
      </c>
      <c r="D75" s="205"/>
      <c r="E75" s="205"/>
      <c r="F75" s="205"/>
      <c r="G75" s="205">
        <v>75100</v>
      </c>
      <c r="H75" s="206"/>
      <c r="I75" s="200"/>
      <c r="Y75" s="7">
        <v>-2200</v>
      </c>
    </row>
    <row r="76" spans="1:25" s="7" customFormat="1" ht="24" customHeight="1" x14ac:dyDescent="0.3">
      <c r="A76" s="50" t="s">
        <v>263</v>
      </c>
      <c r="B76" s="57">
        <f>C76+Expend!O95</f>
        <v>200</v>
      </c>
      <c r="C76" s="57">
        <v>200</v>
      </c>
      <c r="D76" s="57"/>
      <c r="E76" s="57"/>
      <c r="F76" s="57"/>
      <c r="G76" s="57"/>
      <c r="H76" s="183"/>
      <c r="I76" s="188"/>
      <c r="Y76" s="7">
        <f>SUM(Y74:Y75)</f>
        <v>650</v>
      </c>
    </row>
    <row r="77" spans="1:25" s="7" customFormat="1" ht="19.5" customHeight="1" x14ac:dyDescent="0.3">
      <c r="A77" s="50" t="s">
        <v>10</v>
      </c>
      <c r="B77" s="57">
        <f>'CASH BOOK'!M26</f>
        <v>6339.7999999999884</v>
      </c>
      <c r="C77" s="57">
        <v>6557.7</v>
      </c>
      <c r="D77" s="57"/>
      <c r="E77" s="57"/>
      <c r="F77" s="57"/>
      <c r="G77" s="57">
        <v>12166</v>
      </c>
      <c r="H77" s="183">
        <v>8030.6</v>
      </c>
      <c r="I77" s="188"/>
      <c r="J77" s="7">
        <v>1480</v>
      </c>
      <c r="O77" s="131"/>
      <c r="Y77" s="7">
        <f>552+137+130</f>
        <v>819</v>
      </c>
    </row>
    <row r="78" spans="1:25" s="7" customFormat="1" ht="19.5" customHeight="1" x14ac:dyDescent="0.3">
      <c r="A78" s="50" t="s">
        <v>449</v>
      </c>
      <c r="B78" s="57">
        <f>SUM(B75:B77)</f>
        <v>20713.299999999988</v>
      </c>
      <c r="C78" s="57">
        <f>SUM(C75:C77)</f>
        <v>58963.579999999994</v>
      </c>
      <c r="D78" s="57">
        <f t="shared" ref="D78:H78" si="2">SUM(D75:D77)</f>
        <v>0</v>
      </c>
      <c r="E78" s="57">
        <f t="shared" si="2"/>
        <v>0</v>
      </c>
      <c r="F78" s="57">
        <f t="shared" si="2"/>
        <v>0</v>
      </c>
      <c r="G78" s="57">
        <f t="shared" si="2"/>
        <v>87266</v>
      </c>
      <c r="H78" s="57">
        <f t="shared" si="2"/>
        <v>8030.6</v>
      </c>
      <c r="I78" s="188"/>
      <c r="J78" s="7">
        <v>8000</v>
      </c>
      <c r="O78" s="131"/>
      <c r="Y78" s="7">
        <f>SUM(Y76:Y77)</f>
        <v>1469</v>
      </c>
    </row>
    <row r="79" spans="1:25" ht="19.5" hidden="1" customHeight="1" x14ac:dyDescent="0.3">
      <c r="A79" s="50"/>
      <c r="B79" s="57"/>
      <c r="C79" s="181"/>
      <c r="D79" s="181"/>
      <c r="E79" s="181"/>
      <c r="F79" s="181"/>
      <c r="G79" s="181"/>
      <c r="H79" s="83"/>
      <c r="I79" s="187"/>
      <c r="J79" s="7"/>
      <c r="L79" s="56"/>
      <c r="O79" s="132"/>
    </row>
    <row r="80" spans="1:25" ht="19.5" hidden="1" customHeight="1" x14ac:dyDescent="0.3">
      <c r="A80" s="50"/>
      <c r="B80" s="57"/>
      <c r="C80" s="181"/>
      <c r="D80" s="181"/>
      <c r="E80" s="181"/>
      <c r="F80" s="181"/>
      <c r="G80" s="181"/>
      <c r="H80" s="83"/>
      <c r="I80" s="187"/>
      <c r="J80" s="7"/>
      <c r="L80" s="56"/>
      <c r="O80" s="132"/>
    </row>
    <row r="81" spans="1:15" ht="19.5" hidden="1" customHeight="1" x14ac:dyDescent="0.3">
      <c r="A81" s="63" t="s">
        <v>11</v>
      </c>
      <c r="B81" s="57"/>
      <c r="C81" s="181"/>
      <c r="D81" s="181"/>
      <c r="E81" s="181"/>
      <c r="F81" s="181"/>
      <c r="G81" s="181"/>
      <c r="H81" s="83"/>
      <c r="I81" s="187"/>
      <c r="J81" s="7"/>
      <c r="O81" s="132"/>
    </row>
    <row r="82" spans="1:15" ht="19.5" hidden="1" customHeight="1" x14ac:dyDescent="0.3">
      <c r="A82" s="64" t="s">
        <v>12</v>
      </c>
      <c r="B82" s="60" t="s">
        <v>4</v>
      </c>
      <c r="C82" s="157" t="s">
        <v>4</v>
      </c>
      <c r="D82" s="157"/>
      <c r="E82" s="157"/>
      <c r="F82" s="157"/>
      <c r="G82" s="157"/>
      <c r="H82" s="83"/>
      <c r="I82" s="187"/>
      <c r="J82" s="7"/>
      <c r="O82" s="132"/>
    </row>
    <row r="83" spans="1:15" ht="19.5" hidden="1" customHeight="1" x14ac:dyDescent="0.3">
      <c r="A83" s="50" t="s">
        <v>13</v>
      </c>
      <c r="B83" s="57"/>
      <c r="C83" s="181"/>
      <c r="D83" s="181"/>
      <c r="E83" s="181"/>
      <c r="F83" s="181"/>
      <c r="G83" s="181"/>
      <c r="H83" s="83"/>
      <c r="I83" s="187"/>
      <c r="J83" s="7"/>
      <c r="O83" s="132"/>
    </row>
    <row r="84" spans="1:15" ht="19.5" hidden="1" customHeight="1" x14ac:dyDescent="0.3">
      <c r="A84" s="50" t="s">
        <v>18</v>
      </c>
      <c r="B84" s="57"/>
      <c r="C84" s="181"/>
      <c r="D84" s="181"/>
      <c r="E84" s="181"/>
      <c r="F84" s="181"/>
      <c r="G84" s="181"/>
      <c r="H84" s="83"/>
      <c r="I84" s="187"/>
      <c r="J84" s="7"/>
      <c r="O84" s="132"/>
    </row>
    <row r="85" spans="1:15" ht="19.5" hidden="1" customHeight="1" x14ac:dyDescent="0.3">
      <c r="A85" s="50" t="s">
        <v>14</v>
      </c>
      <c r="B85" s="57"/>
      <c r="C85" s="181"/>
      <c r="D85" s="181"/>
      <c r="E85" s="181"/>
      <c r="F85" s="181"/>
      <c r="G85" s="181"/>
      <c r="H85" s="83"/>
      <c r="I85" s="187"/>
      <c r="J85" s="7"/>
      <c r="O85" s="132"/>
    </row>
    <row r="86" spans="1:15" ht="19.5" hidden="1" customHeight="1" x14ac:dyDescent="0.3">
      <c r="A86" s="50" t="s">
        <v>15</v>
      </c>
      <c r="B86" s="57"/>
      <c r="C86" s="179">
        <f>SUM(B83:B86)</f>
        <v>0</v>
      </c>
      <c r="D86" s="179"/>
      <c r="E86" s="179"/>
      <c r="F86" s="179"/>
      <c r="G86" s="179"/>
      <c r="H86" s="83"/>
      <c r="I86" s="187"/>
      <c r="J86" s="7"/>
      <c r="O86" s="132"/>
    </row>
    <row r="87" spans="1:15" ht="19.5" hidden="1" customHeight="1" x14ac:dyDescent="0.3">
      <c r="A87" s="50"/>
      <c r="B87" s="57"/>
      <c r="C87" s="181"/>
      <c r="D87" s="181"/>
      <c r="E87" s="181"/>
      <c r="F87" s="181"/>
      <c r="G87" s="181"/>
      <c r="H87" s="83"/>
      <c r="I87" s="187"/>
      <c r="J87" s="7"/>
      <c r="O87" s="132"/>
    </row>
    <row r="88" spans="1:15" ht="19.5" hidden="1" customHeight="1" x14ac:dyDescent="0.3">
      <c r="A88" s="64" t="s">
        <v>8</v>
      </c>
      <c r="B88" s="60" t="s">
        <v>4</v>
      </c>
      <c r="C88" s="157" t="s">
        <v>4</v>
      </c>
      <c r="D88" s="157"/>
      <c r="E88" s="157"/>
      <c r="F88" s="157"/>
      <c r="G88" s="157"/>
      <c r="H88" s="83"/>
      <c r="I88" s="187"/>
      <c r="J88" s="7"/>
      <c r="O88" s="132"/>
    </row>
    <row r="89" spans="1:15" ht="19.5" hidden="1" customHeight="1" x14ac:dyDescent="0.3">
      <c r="A89" s="50" t="s">
        <v>16</v>
      </c>
      <c r="B89" s="57"/>
      <c r="C89" s="181"/>
      <c r="D89" s="181"/>
      <c r="E89" s="181"/>
      <c r="F89" s="181"/>
      <c r="G89" s="181"/>
      <c r="H89" s="83"/>
      <c r="I89" s="187"/>
      <c r="J89" s="7"/>
      <c r="O89" s="132"/>
    </row>
    <row r="90" spans="1:15" ht="19.5" hidden="1" customHeight="1" x14ac:dyDescent="0.3">
      <c r="A90" s="50" t="s">
        <v>17</v>
      </c>
      <c r="B90" s="57"/>
      <c r="C90" s="181"/>
      <c r="D90" s="181"/>
      <c r="E90" s="181"/>
      <c r="F90" s="181"/>
      <c r="G90" s="181"/>
      <c r="H90" s="83"/>
      <c r="I90" s="187"/>
      <c r="J90" s="7"/>
      <c r="O90" s="132"/>
    </row>
    <row r="91" spans="1:15" ht="19.5" hidden="1" customHeight="1" x14ac:dyDescent="0.3">
      <c r="A91" s="50" t="s">
        <v>36</v>
      </c>
      <c r="B91" s="57"/>
      <c r="C91" s="181"/>
      <c r="D91" s="181"/>
      <c r="E91" s="181"/>
      <c r="F91" s="181"/>
      <c r="G91" s="181"/>
      <c r="H91" s="83"/>
      <c r="I91" s="187"/>
      <c r="J91" s="7"/>
      <c r="O91" s="132"/>
    </row>
    <row r="92" spans="1:15" ht="19.5" hidden="1" customHeight="1" x14ac:dyDescent="0.3">
      <c r="A92" s="50"/>
      <c r="B92" s="57"/>
      <c r="C92" s="179">
        <f>SUM(B89:B92)</f>
        <v>0</v>
      </c>
      <c r="D92" s="179"/>
      <c r="E92" s="179"/>
      <c r="F92" s="179"/>
      <c r="G92" s="179"/>
      <c r="H92" s="83"/>
      <c r="I92" s="187"/>
      <c r="J92" s="7"/>
      <c r="O92" s="132"/>
    </row>
    <row r="93" spans="1:15" ht="19.5" hidden="1" customHeight="1" x14ac:dyDescent="0.3">
      <c r="A93" s="65"/>
      <c r="B93" s="57"/>
      <c r="C93" s="57"/>
      <c r="D93" s="57"/>
      <c r="E93" s="57"/>
      <c r="F93" s="57"/>
      <c r="G93" s="57"/>
      <c r="H93" s="83"/>
      <c r="I93" s="187"/>
      <c r="J93" s="7"/>
      <c r="O93" s="132"/>
    </row>
    <row r="94" spans="1:15" ht="19.5" customHeight="1" x14ac:dyDescent="0.3">
      <c r="A94" s="65"/>
      <c r="B94" s="57"/>
      <c r="C94" s="57"/>
      <c r="D94" s="57"/>
      <c r="E94" s="57"/>
      <c r="F94" s="57"/>
      <c r="G94" s="57"/>
      <c r="H94" s="184"/>
      <c r="I94" s="187"/>
      <c r="J94" s="7">
        <v>1000</v>
      </c>
      <c r="O94" s="133"/>
    </row>
    <row r="95" spans="1:15" ht="19.5" hidden="1" customHeight="1" x14ac:dyDescent="0.3">
      <c r="A95" s="65"/>
      <c r="B95" s="57"/>
      <c r="C95" s="57"/>
      <c r="D95" s="57"/>
      <c r="E95" s="57"/>
      <c r="F95" s="57"/>
      <c r="G95" s="57"/>
      <c r="H95" s="83"/>
      <c r="I95" s="187"/>
      <c r="K95" s="55"/>
      <c r="N95" s="55"/>
    </row>
    <row r="96" spans="1:15" ht="19.5" customHeight="1" x14ac:dyDescent="0.3">
      <c r="A96" s="190" t="s">
        <v>174</v>
      </c>
      <c r="B96" s="58" t="s">
        <v>415</v>
      </c>
      <c r="C96" s="57"/>
      <c r="D96" s="57"/>
      <c r="E96" s="57"/>
      <c r="F96" s="57"/>
      <c r="G96" s="57"/>
      <c r="H96" s="83"/>
      <c r="I96" s="187"/>
      <c r="J96" s="55">
        <f>J77+J78+J94</f>
        <v>10480</v>
      </c>
      <c r="K96" s="55">
        <f>B77-J96</f>
        <v>-4140.2000000000116</v>
      </c>
      <c r="N96" s="55"/>
    </row>
    <row r="97" spans="1:14" ht="19.5" customHeight="1" thickBot="1" x14ac:dyDescent="0.35">
      <c r="A97" s="191" t="s">
        <v>260</v>
      </c>
      <c r="B97" s="98" t="s">
        <v>474</v>
      </c>
      <c r="C97" s="93"/>
      <c r="D97" s="93"/>
      <c r="E97" s="93"/>
      <c r="F97" s="93"/>
      <c r="G97" s="93"/>
      <c r="H97" s="207"/>
      <c r="I97" s="192"/>
      <c r="K97" s="7"/>
      <c r="N97" s="55"/>
    </row>
    <row r="98" spans="1:14" ht="19.5" customHeight="1" x14ac:dyDescent="0.3">
      <c r="A98" s="156"/>
      <c r="B98" s="70"/>
      <c r="C98" s="68"/>
      <c r="D98" s="68"/>
      <c r="E98" s="68"/>
      <c r="F98" s="68"/>
      <c r="G98" s="68"/>
      <c r="K98" s="7"/>
      <c r="N98" s="55"/>
    </row>
    <row r="99" spans="1:14" ht="19.5" customHeight="1" x14ac:dyDescent="0.3">
      <c r="A99" s="260"/>
      <c r="B99" s="260"/>
      <c r="C99" s="260"/>
      <c r="D99" s="178"/>
      <c r="E99" s="178"/>
      <c r="F99" s="178"/>
      <c r="G99" s="178"/>
      <c r="K99" s="7"/>
      <c r="N99" s="55"/>
    </row>
    <row r="100" spans="1:14" ht="19.5" customHeight="1" x14ac:dyDescent="0.3">
      <c r="A100" s="156" t="s">
        <v>311</v>
      </c>
      <c r="B100" s="70"/>
      <c r="C100" s="68"/>
      <c r="D100" s="68"/>
      <c r="E100" s="68"/>
      <c r="F100" s="68"/>
      <c r="G100" s="68"/>
      <c r="K100" s="7"/>
      <c r="N100" s="55"/>
    </row>
    <row r="101" spans="1:14" ht="19.5" customHeight="1" x14ac:dyDescent="0.3">
      <c r="A101" s="156" t="s">
        <v>312</v>
      </c>
      <c r="B101" s="70"/>
      <c r="C101" s="68"/>
      <c r="D101" s="68"/>
      <c r="E101" s="68"/>
      <c r="F101" s="68"/>
      <c r="G101" s="68"/>
      <c r="K101" s="7"/>
      <c r="N101" s="55"/>
    </row>
    <row r="102" spans="1:14" ht="19.5" customHeight="1" x14ac:dyDescent="0.3">
      <c r="A102" s="156" t="s">
        <v>313</v>
      </c>
      <c r="B102" s="70"/>
      <c r="C102" s="68"/>
      <c r="D102" s="68"/>
      <c r="E102" s="68"/>
      <c r="F102" s="68"/>
      <c r="G102" s="68"/>
      <c r="K102" s="7"/>
      <c r="N102" s="55"/>
    </row>
    <row r="103" spans="1:14" ht="19.5" customHeight="1" x14ac:dyDescent="0.3">
      <c r="A103" s="156" t="s">
        <v>31</v>
      </c>
      <c r="B103" s="70"/>
      <c r="C103" s="68"/>
      <c r="D103" s="68"/>
      <c r="E103" s="68"/>
      <c r="F103" s="68"/>
      <c r="G103" s="68"/>
      <c r="K103" s="7"/>
      <c r="N103" s="55"/>
    </row>
    <row r="104" spans="1:14" ht="19.5" customHeight="1" x14ac:dyDescent="0.3">
      <c r="A104" s="156"/>
      <c r="B104" s="70"/>
      <c r="C104" s="68"/>
      <c r="D104" s="68"/>
      <c r="E104" s="68"/>
      <c r="F104" s="68"/>
      <c r="G104" s="68"/>
      <c r="K104" s="7"/>
      <c r="N104" s="55"/>
    </row>
    <row r="105" spans="1:14" ht="19.5" customHeight="1" x14ac:dyDescent="0.3">
      <c r="A105" s="156" t="s">
        <v>314</v>
      </c>
      <c r="B105" s="70"/>
      <c r="C105" s="68"/>
      <c r="D105" s="68"/>
      <c r="E105" s="68"/>
      <c r="F105" s="68"/>
      <c r="G105" s="68"/>
      <c r="K105" s="7"/>
      <c r="N105" s="55"/>
    </row>
    <row r="106" spans="1:14" ht="19.5" customHeight="1" x14ac:dyDescent="0.3">
      <c r="A106" s="156" t="s">
        <v>310</v>
      </c>
      <c r="B106" s="70"/>
      <c r="C106" s="68"/>
      <c r="D106" s="68"/>
      <c r="E106" s="68"/>
      <c r="F106" s="68"/>
      <c r="G106" s="68"/>
      <c r="K106" s="7"/>
      <c r="N106" s="55"/>
    </row>
    <row r="107" spans="1:14" ht="19.5" customHeight="1" x14ac:dyDescent="0.3">
      <c r="A107" s="156"/>
      <c r="B107" s="70"/>
      <c r="C107" s="68"/>
      <c r="D107" s="68"/>
      <c r="E107" s="68"/>
      <c r="F107" s="68"/>
      <c r="G107" s="68"/>
      <c r="K107" s="7"/>
      <c r="M107" s="6" t="s">
        <v>420</v>
      </c>
      <c r="N107" s="55"/>
    </row>
    <row r="108" spans="1:14" ht="19.5" customHeight="1" x14ac:dyDescent="0.3">
      <c r="A108" s="156"/>
      <c r="B108" s="70"/>
      <c r="C108" s="68"/>
      <c r="D108" s="68"/>
      <c r="E108" s="68"/>
      <c r="F108" s="68"/>
      <c r="G108" s="68"/>
      <c r="K108" s="7"/>
      <c r="N108" s="55"/>
    </row>
    <row r="109" spans="1:14" ht="19.5" customHeight="1" x14ac:dyDescent="0.3">
      <c r="A109" s="156"/>
      <c r="B109" s="70"/>
      <c r="C109" s="68"/>
      <c r="D109" s="68"/>
      <c r="E109" s="68"/>
      <c r="F109" s="68"/>
      <c r="G109" s="68"/>
      <c r="K109" s="7"/>
      <c r="M109" s="6" t="s">
        <v>421</v>
      </c>
      <c r="N109" s="55"/>
    </row>
    <row r="110" spans="1:14" ht="19.5" customHeight="1" x14ac:dyDescent="0.3">
      <c r="A110" s="156"/>
      <c r="B110" s="70"/>
      <c r="C110" s="68"/>
      <c r="D110" s="68"/>
      <c r="E110" s="68"/>
      <c r="F110" s="68"/>
      <c r="G110" s="68"/>
      <c r="K110" s="7"/>
      <c r="N110" s="55"/>
    </row>
    <row r="111" spans="1:14" ht="19.5" customHeight="1" x14ac:dyDescent="0.3">
      <c r="A111" s="156"/>
      <c r="B111" s="70"/>
      <c r="C111" s="68"/>
      <c r="D111" s="68"/>
      <c r="E111" s="68"/>
      <c r="F111" s="68"/>
      <c r="G111" s="68"/>
      <c r="K111" s="7"/>
      <c r="M111" s="6" t="s">
        <v>422</v>
      </c>
      <c r="N111" s="55"/>
    </row>
    <row r="112" spans="1:14" ht="19.5" customHeight="1" x14ac:dyDescent="0.3">
      <c r="A112" s="156"/>
      <c r="B112" s="70"/>
      <c r="C112" s="68"/>
      <c r="D112" s="68"/>
      <c r="E112" s="68"/>
      <c r="F112" s="68"/>
      <c r="G112" s="68"/>
      <c r="K112" s="7"/>
      <c r="N112" s="55"/>
    </row>
    <row r="113" spans="1:14" ht="19.5" customHeight="1" x14ac:dyDescent="0.3">
      <c r="A113" s="156"/>
      <c r="B113" s="70"/>
      <c r="C113" s="68"/>
      <c r="D113" s="68"/>
      <c r="E113" s="68"/>
      <c r="F113" s="68"/>
      <c r="G113" s="68"/>
      <c r="K113" s="7"/>
      <c r="N113" s="55"/>
    </row>
    <row r="114" spans="1:14" ht="19.5" customHeight="1" x14ac:dyDescent="0.3">
      <c r="A114" s="156"/>
      <c r="B114" s="70"/>
      <c r="C114" s="68"/>
      <c r="D114" s="68"/>
      <c r="E114" s="68"/>
      <c r="F114" s="68"/>
      <c r="G114" s="68"/>
      <c r="K114" s="7"/>
      <c r="N114" s="55"/>
    </row>
    <row r="115" spans="1:14" ht="19.5" customHeight="1" x14ac:dyDescent="0.3">
      <c r="A115" s="156"/>
      <c r="B115" s="70"/>
      <c r="C115" s="68"/>
      <c r="D115" s="68"/>
      <c r="E115" s="68"/>
      <c r="F115" s="68"/>
      <c r="G115" s="68"/>
      <c r="K115" s="7"/>
      <c r="N115" s="55"/>
    </row>
    <row r="116" spans="1:14" ht="19.5" customHeight="1" x14ac:dyDescent="0.3">
      <c r="A116" s="156"/>
      <c r="B116" s="70"/>
      <c r="C116" s="68"/>
      <c r="D116" s="68"/>
      <c r="E116" s="68"/>
      <c r="F116" s="68"/>
      <c r="G116" s="68"/>
      <c r="K116" s="7"/>
      <c r="N116" s="55"/>
    </row>
    <row r="117" spans="1:14" ht="19.5" customHeight="1" x14ac:dyDescent="0.3">
      <c r="A117" s="156"/>
      <c r="B117" s="70"/>
      <c r="C117" s="68"/>
      <c r="D117" s="68"/>
      <c r="E117" s="68"/>
      <c r="F117" s="68"/>
      <c r="G117" s="68"/>
      <c r="K117" s="7"/>
      <c r="N117" s="55"/>
    </row>
    <row r="118" spans="1:14" ht="19.5" customHeight="1" thickBot="1" x14ac:dyDescent="0.35">
      <c r="K118" s="55"/>
    </row>
    <row r="119" spans="1:14" ht="19.5" customHeight="1" x14ac:dyDescent="0.3">
      <c r="A119" s="85" t="s">
        <v>11</v>
      </c>
      <c r="B119" s="86"/>
      <c r="C119" s="86"/>
      <c r="D119" s="86"/>
      <c r="E119" s="86"/>
      <c r="F119" s="86"/>
      <c r="G119" s="86"/>
      <c r="H119" s="87"/>
    </row>
    <row r="120" spans="1:14" ht="19.5" customHeight="1" x14ac:dyDescent="0.3">
      <c r="A120" s="257" t="s">
        <v>8</v>
      </c>
      <c r="B120" s="258"/>
      <c r="C120" s="258"/>
      <c r="D120" s="258"/>
      <c r="E120" s="258"/>
      <c r="F120" s="258"/>
      <c r="G120" s="258"/>
      <c r="H120" s="259"/>
    </row>
    <row r="121" spans="1:14" ht="19.5" customHeight="1" x14ac:dyDescent="0.3">
      <c r="A121" s="88" t="s">
        <v>116</v>
      </c>
      <c r="B121" s="61" t="s">
        <v>133</v>
      </c>
      <c r="C121" s="61"/>
      <c r="D121" s="211"/>
      <c r="E121" s="211"/>
      <c r="F121" s="211"/>
      <c r="G121" s="211"/>
      <c r="H121" s="89" t="s">
        <v>132</v>
      </c>
      <c r="K121" s="55">
        <f>SUM(K118:K120)</f>
        <v>0</v>
      </c>
    </row>
    <row r="122" spans="1:14" ht="19.5" customHeight="1" x14ac:dyDescent="0.3">
      <c r="A122" s="88"/>
      <c r="B122" s="61"/>
      <c r="C122" s="61"/>
      <c r="D122" s="211"/>
      <c r="E122" s="211"/>
      <c r="F122" s="211"/>
      <c r="G122" s="211"/>
      <c r="H122" s="89" t="s">
        <v>113</v>
      </c>
    </row>
    <row r="123" spans="1:14" ht="19.5" customHeight="1" x14ac:dyDescent="0.3">
      <c r="A123" s="65"/>
      <c r="B123" s="57"/>
      <c r="C123" s="57"/>
      <c r="D123" s="212"/>
      <c r="E123" s="212"/>
      <c r="F123" s="212"/>
      <c r="G123" s="212"/>
      <c r="H123" s="66"/>
    </row>
    <row r="124" spans="1:14" ht="19.5" customHeight="1" x14ac:dyDescent="0.3">
      <c r="A124" s="65"/>
      <c r="B124" s="57"/>
      <c r="C124" s="83"/>
      <c r="D124" s="213"/>
      <c r="E124" s="213"/>
      <c r="F124" s="213"/>
      <c r="G124" s="213"/>
      <c r="H124" s="66"/>
    </row>
    <row r="125" spans="1:14" ht="19.5" customHeight="1" x14ac:dyDescent="0.3">
      <c r="A125" s="65"/>
      <c r="B125" s="57"/>
      <c r="C125" s="83"/>
      <c r="D125" s="213"/>
      <c r="E125" s="213"/>
      <c r="F125" s="213"/>
      <c r="G125" s="213"/>
      <c r="H125" s="66"/>
    </row>
    <row r="126" spans="1:14" ht="19.5" customHeight="1" x14ac:dyDescent="0.3">
      <c r="A126" s="65"/>
      <c r="B126" s="57"/>
      <c r="C126" s="83"/>
      <c r="D126" s="213"/>
      <c r="E126" s="213"/>
      <c r="F126" s="213"/>
      <c r="G126" s="213"/>
      <c r="H126" s="66"/>
    </row>
    <row r="127" spans="1:14" ht="19.5" customHeight="1" x14ac:dyDescent="0.3">
      <c r="A127" s="65"/>
      <c r="B127" s="57"/>
      <c r="C127" s="83"/>
      <c r="D127" s="213"/>
      <c r="E127" s="213"/>
      <c r="F127" s="213"/>
      <c r="G127" s="213"/>
      <c r="H127" s="66"/>
    </row>
    <row r="128" spans="1:14" ht="19.5" customHeight="1" x14ac:dyDescent="0.3">
      <c r="A128" s="65"/>
      <c r="B128" s="57"/>
      <c r="C128" s="83"/>
      <c r="D128" s="213"/>
      <c r="E128" s="213"/>
      <c r="F128" s="213"/>
      <c r="G128" s="213"/>
      <c r="H128" s="66"/>
    </row>
    <row r="129" spans="1:8" ht="19.5" customHeight="1" x14ac:dyDescent="0.3">
      <c r="A129" s="65"/>
      <c r="B129" s="57"/>
      <c r="C129" s="83"/>
      <c r="D129" s="213"/>
      <c r="E129" s="213"/>
      <c r="F129" s="213"/>
      <c r="G129" s="213"/>
      <c r="H129" s="66"/>
    </row>
    <row r="130" spans="1:8" ht="19.5" customHeight="1" x14ac:dyDescent="0.3">
      <c r="A130" s="65"/>
      <c r="B130" s="57"/>
      <c r="C130" s="83"/>
      <c r="D130" s="213"/>
      <c r="E130" s="213"/>
      <c r="F130" s="213"/>
      <c r="G130" s="213"/>
      <c r="H130" s="66"/>
    </row>
    <row r="131" spans="1:8" ht="19.5" customHeight="1" x14ac:dyDescent="0.3">
      <c r="A131" s="65"/>
      <c r="B131" s="57"/>
      <c r="C131" s="83"/>
      <c r="D131" s="213"/>
      <c r="E131" s="213"/>
      <c r="F131" s="213"/>
      <c r="G131" s="213"/>
      <c r="H131" s="66"/>
    </row>
    <row r="132" spans="1:8" ht="19.5" customHeight="1" x14ac:dyDescent="0.3">
      <c r="A132" s="65"/>
      <c r="B132" s="57"/>
      <c r="C132" s="83"/>
      <c r="D132" s="213"/>
      <c r="E132" s="213"/>
      <c r="F132" s="213"/>
      <c r="G132" s="213"/>
      <c r="H132" s="66"/>
    </row>
    <row r="133" spans="1:8" ht="19.5" customHeight="1" x14ac:dyDescent="0.3">
      <c r="A133" s="65"/>
      <c r="B133" s="57"/>
      <c r="C133" s="83"/>
      <c r="D133" s="213"/>
      <c r="E133" s="213"/>
      <c r="F133" s="213"/>
      <c r="G133" s="213"/>
      <c r="H133" s="66"/>
    </row>
    <row r="134" spans="1:8" ht="19.5" customHeight="1" x14ac:dyDescent="0.3">
      <c r="A134" s="65"/>
      <c r="B134" s="57"/>
      <c r="C134" s="83"/>
      <c r="D134" s="213"/>
      <c r="E134" s="213"/>
      <c r="F134" s="213"/>
      <c r="G134" s="213"/>
      <c r="H134" s="66"/>
    </row>
    <row r="135" spans="1:8" ht="19.5" customHeight="1" x14ac:dyDescent="0.3">
      <c r="A135" s="65"/>
      <c r="B135" s="57"/>
      <c r="C135" s="83"/>
      <c r="D135" s="213"/>
      <c r="E135" s="213"/>
      <c r="F135" s="213"/>
      <c r="G135" s="213"/>
      <c r="H135" s="66"/>
    </row>
    <row r="136" spans="1:8" ht="19.5" customHeight="1" x14ac:dyDescent="0.3">
      <c r="A136" s="88" t="s">
        <v>31</v>
      </c>
      <c r="B136" s="57"/>
      <c r="C136" s="83"/>
      <c r="D136" s="213"/>
      <c r="E136" s="213"/>
      <c r="F136" s="213"/>
      <c r="G136" s="213"/>
      <c r="H136" s="90">
        <f>SUM(H123:H134)</f>
        <v>0</v>
      </c>
    </row>
    <row r="137" spans="1:8" ht="19.5" customHeight="1" x14ac:dyDescent="0.3">
      <c r="A137" s="67"/>
      <c r="B137" s="68"/>
      <c r="C137" s="91"/>
      <c r="D137" s="91"/>
      <c r="E137" s="91"/>
      <c r="F137" s="91"/>
      <c r="G137" s="91"/>
      <c r="H137" s="69"/>
    </row>
    <row r="138" spans="1:8" ht="19.5" customHeight="1" x14ac:dyDescent="0.3">
      <c r="A138" s="67"/>
      <c r="B138" s="68"/>
      <c r="C138" s="91"/>
      <c r="D138" s="91"/>
      <c r="E138" s="91"/>
      <c r="F138" s="91"/>
      <c r="G138" s="91"/>
      <c r="H138" s="69"/>
    </row>
    <row r="139" spans="1:8" ht="19.5" customHeight="1" x14ac:dyDescent="0.3">
      <c r="A139" s="257" t="s">
        <v>107</v>
      </c>
      <c r="B139" s="258"/>
      <c r="C139" s="258"/>
      <c r="D139" s="258"/>
      <c r="E139" s="258"/>
      <c r="F139" s="258"/>
      <c r="G139" s="258"/>
      <c r="H139" s="259"/>
    </row>
    <row r="140" spans="1:8" ht="19.5" customHeight="1" x14ac:dyDescent="0.3">
      <c r="A140" s="88" t="s">
        <v>116</v>
      </c>
      <c r="B140" s="61" t="s">
        <v>133</v>
      </c>
      <c r="C140" s="84"/>
      <c r="D140" s="214"/>
      <c r="E140" s="214"/>
      <c r="F140" s="214"/>
      <c r="G140" s="214"/>
      <c r="H140" s="89" t="s">
        <v>132</v>
      </c>
    </row>
    <row r="141" spans="1:8" ht="19.5" customHeight="1" x14ac:dyDescent="0.3">
      <c r="A141" s="65"/>
      <c r="B141" s="57"/>
      <c r="C141" s="83"/>
      <c r="D141" s="213"/>
      <c r="E141" s="213"/>
      <c r="F141" s="213"/>
      <c r="G141" s="213"/>
      <c r="H141" s="66"/>
    </row>
    <row r="142" spans="1:8" ht="19.5" customHeight="1" x14ac:dyDescent="0.3">
      <c r="A142" s="65"/>
      <c r="B142" s="57"/>
      <c r="C142" s="83"/>
      <c r="D142" s="213"/>
      <c r="E142" s="213"/>
      <c r="F142" s="213"/>
      <c r="G142" s="213"/>
      <c r="H142" s="66"/>
    </row>
    <row r="143" spans="1:8" ht="19.5" customHeight="1" x14ac:dyDescent="0.3">
      <c r="A143" s="65"/>
      <c r="B143" s="57"/>
      <c r="C143" s="83"/>
      <c r="D143" s="213"/>
      <c r="E143" s="213"/>
      <c r="F143" s="213"/>
      <c r="G143" s="213"/>
      <c r="H143" s="66"/>
    </row>
    <row r="144" spans="1:8" ht="19.5" customHeight="1" x14ac:dyDescent="0.3">
      <c r="A144" s="65"/>
      <c r="B144" s="57"/>
      <c r="C144" s="83"/>
      <c r="D144" s="213"/>
      <c r="E144" s="213"/>
      <c r="F144" s="213"/>
      <c r="G144" s="213"/>
      <c r="H144" s="66"/>
    </row>
    <row r="145" spans="1:8" ht="19.5" customHeight="1" x14ac:dyDescent="0.3">
      <c r="A145" s="65"/>
      <c r="B145" s="57"/>
      <c r="C145" s="83"/>
      <c r="D145" s="213"/>
      <c r="E145" s="213"/>
      <c r="F145" s="213"/>
      <c r="G145" s="213"/>
      <c r="H145" s="66"/>
    </row>
    <row r="146" spans="1:8" ht="19.5" customHeight="1" x14ac:dyDescent="0.3">
      <c r="A146" s="88" t="str">
        <f>A153</f>
        <v>TOTAL</v>
      </c>
      <c r="B146" s="57"/>
      <c r="C146" s="83"/>
      <c r="D146" s="213"/>
      <c r="E146" s="213"/>
      <c r="F146" s="213"/>
      <c r="G146" s="213"/>
      <c r="H146" s="66">
        <f>SUM(H141:H144)</f>
        <v>0</v>
      </c>
    </row>
    <row r="147" spans="1:8" ht="19.5" customHeight="1" x14ac:dyDescent="0.3">
      <c r="A147" s="67"/>
      <c r="B147" s="68"/>
      <c r="C147" s="91"/>
      <c r="D147" s="91"/>
      <c r="E147" s="91"/>
      <c r="F147" s="91"/>
      <c r="G147" s="91"/>
      <c r="H147" s="69"/>
    </row>
    <row r="148" spans="1:8" ht="19.5" customHeight="1" x14ac:dyDescent="0.3">
      <c r="A148" s="257" t="s">
        <v>134</v>
      </c>
      <c r="B148" s="258"/>
      <c r="C148" s="258"/>
      <c r="D148" s="258"/>
      <c r="E148" s="258"/>
      <c r="F148" s="258"/>
      <c r="G148" s="258"/>
      <c r="H148" s="259"/>
    </row>
    <row r="149" spans="1:8" ht="19.5" customHeight="1" x14ac:dyDescent="0.3">
      <c r="A149" s="88" t="s">
        <v>116</v>
      </c>
      <c r="B149" s="61" t="s">
        <v>133</v>
      </c>
      <c r="C149" s="84"/>
      <c r="D149" s="214"/>
      <c r="E149" s="214"/>
      <c r="F149" s="214"/>
      <c r="G149" s="214"/>
      <c r="H149" s="89" t="s">
        <v>132</v>
      </c>
    </row>
    <row r="150" spans="1:8" ht="19.5" customHeight="1" x14ac:dyDescent="0.3">
      <c r="A150" s="65"/>
      <c r="B150" s="57"/>
      <c r="C150" s="83"/>
      <c r="D150" s="213"/>
      <c r="E150" s="213"/>
      <c r="F150" s="213"/>
      <c r="G150" s="213"/>
      <c r="H150" s="66"/>
    </row>
    <row r="151" spans="1:8" ht="19.5" customHeight="1" x14ac:dyDescent="0.3">
      <c r="A151" s="65"/>
      <c r="B151" s="57"/>
      <c r="C151" s="57"/>
      <c r="D151" s="212"/>
      <c r="E151" s="212"/>
      <c r="F151" s="212"/>
      <c r="G151" s="212"/>
      <c r="H151" s="66"/>
    </row>
    <row r="152" spans="1:8" ht="19.5" customHeight="1" x14ac:dyDescent="0.3">
      <c r="A152" s="65"/>
      <c r="B152" s="57"/>
      <c r="C152" s="57"/>
      <c r="D152" s="212"/>
      <c r="E152" s="212"/>
      <c r="F152" s="212"/>
      <c r="G152" s="212"/>
      <c r="H152" s="66"/>
    </row>
    <row r="153" spans="1:8" ht="19.5" customHeight="1" thickBot="1" x14ac:dyDescent="0.35">
      <c r="A153" s="92" t="s">
        <v>31</v>
      </c>
      <c r="B153" s="93"/>
      <c r="C153" s="93"/>
      <c r="D153" s="215"/>
      <c r="E153" s="215"/>
      <c r="F153" s="215"/>
      <c r="G153" s="215"/>
      <c r="H153" s="94">
        <f>SUM(H150:H152)</f>
        <v>0</v>
      </c>
    </row>
  </sheetData>
  <mergeCells count="10">
    <mergeCell ref="A5:C5"/>
    <mergeCell ref="A1:C1"/>
    <mergeCell ref="A2:C2"/>
    <mergeCell ref="A3:C3"/>
    <mergeCell ref="A4:C4"/>
    <mergeCell ref="A120:H120"/>
    <mergeCell ref="A139:H139"/>
    <mergeCell ref="A148:H148"/>
    <mergeCell ref="A99:C99"/>
    <mergeCell ref="A74:C74"/>
  </mergeCells>
  <pageMargins left="0.7" right="0.7" top="0.75" bottom="0.75" header="0.3" footer="0.3"/>
  <pageSetup scale="5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31" workbookViewId="0">
      <selection activeCell="G13" sqref="G13"/>
    </sheetView>
  </sheetViews>
  <sheetFormatPr defaultColWidth="9.109375" defaultRowHeight="13.8" x14ac:dyDescent="0.25"/>
  <cols>
    <col min="1" max="2" width="12.109375" style="158" customWidth="1"/>
    <col min="3" max="3" width="20.6640625" style="158" customWidth="1"/>
    <col min="4" max="11" width="15" style="159" customWidth="1"/>
    <col min="12" max="16384" width="9.109375" style="158"/>
  </cols>
  <sheetData>
    <row r="1" spans="1:11" x14ac:dyDescent="0.25">
      <c r="A1" s="270" t="s">
        <v>305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</row>
    <row r="2" spans="1:11" x14ac:dyDescent="0.25">
      <c r="A2" s="270" t="s">
        <v>316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</row>
    <row r="3" spans="1:11" x14ac:dyDescent="0.25">
      <c r="A3" s="160" t="s">
        <v>323</v>
      </c>
      <c r="B3" s="161"/>
      <c r="C3" s="162" t="s">
        <v>324</v>
      </c>
      <c r="D3" s="269" t="s">
        <v>319</v>
      </c>
      <c r="E3" s="269"/>
      <c r="F3" s="269" t="s">
        <v>320</v>
      </c>
      <c r="G3" s="269"/>
      <c r="H3" s="269" t="s">
        <v>321</v>
      </c>
      <c r="I3" s="269"/>
      <c r="J3" s="269" t="s">
        <v>322</v>
      </c>
      <c r="K3" s="269"/>
    </row>
    <row r="4" spans="1:11" x14ac:dyDescent="0.25">
      <c r="A4" s="160"/>
      <c r="B4" s="163" t="s">
        <v>325</v>
      </c>
      <c r="C4" s="162"/>
      <c r="D4" s="164" t="s">
        <v>317</v>
      </c>
      <c r="E4" s="164" t="s">
        <v>318</v>
      </c>
      <c r="F4" s="164" t="s">
        <v>317</v>
      </c>
      <c r="G4" s="164" t="s">
        <v>318</v>
      </c>
      <c r="H4" s="164" t="s">
        <v>317</v>
      </c>
      <c r="I4" s="164" t="s">
        <v>318</v>
      </c>
      <c r="J4" s="164" t="s">
        <v>317</v>
      </c>
      <c r="K4" s="164" t="s">
        <v>318</v>
      </c>
    </row>
    <row r="5" spans="1:11" x14ac:dyDescent="0.25">
      <c r="A5" s="160"/>
      <c r="B5" s="163"/>
      <c r="C5" s="162"/>
      <c r="D5" s="164" t="s">
        <v>113</v>
      </c>
      <c r="E5" s="164" t="s">
        <v>113</v>
      </c>
      <c r="F5" s="164" t="s">
        <v>113</v>
      </c>
      <c r="G5" s="164" t="s">
        <v>113</v>
      </c>
      <c r="H5" s="164" t="s">
        <v>113</v>
      </c>
      <c r="I5" s="164" t="s">
        <v>113</v>
      </c>
      <c r="J5" s="164" t="s">
        <v>113</v>
      </c>
      <c r="K5" s="164" t="s">
        <v>113</v>
      </c>
    </row>
    <row r="6" spans="1:11" x14ac:dyDescent="0.25">
      <c r="A6" s="165" t="s">
        <v>374</v>
      </c>
      <c r="B6" s="163"/>
      <c r="C6" s="166" t="s">
        <v>327</v>
      </c>
      <c r="D6" s="169"/>
      <c r="E6" s="169"/>
      <c r="F6" s="169"/>
      <c r="G6" s="169"/>
      <c r="H6" s="169"/>
      <c r="I6" s="169"/>
      <c r="J6" s="168">
        <f>+D6+F6+H6-E6-G6-I6</f>
        <v>0</v>
      </c>
      <c r="K6" s="168">
        <f>+E6+G6+I6-D6-F6-H6</f>
        <v>0</v>
      </c>
    </row>
    <row r="7" spans="1:11" x14ac:dyDescent="0.25">
      <c r="A7" s="165" t="s">
        <v>375</v>
      </c>
      <c r="B7" s="163"/>
      <c r="C7" s="167" t="s">
        <v>329</v>
      </c>
      <c r="D7" s="168"/>
      <c r="E7" s="168"/>
      <c r="F7" s="168"/>
      <c r="G7" s="168"/>
      <c r="H7" s="168"/>
      <c r="I7" s="168"/>
      <c r="J7" s="168">
        <f>+D7+F7+H7-E7-G7-I7</f>
        <v>0</v>
      </c>
      <c r="K7" s="168">
        <f>+E7+G7+I7-D7-F7-H7</f>
        <v>0</v>
      </c>
    </row>
    <row r="8" spans="1:11" x14ac:dyDescent="0.25">
      <c r="A8" s="165" t="s">
        <v>376</v>
      </c>
      <c r="B8" s="163"/>
      <c r="C8" s="167" t="s">
        <v>331</v>
      </c>
      <c r="D8" s="168"/>
      <c r="E8" s="168"/>
      <c r="F8" s="168"/>
      <c r="G8" s="168"/>
      <c r="H8" s="168"/>
      <c r="I8" s="168"/>
      <c r="J8" s="168">
        <f t="shared" ref="J8:J30" si="0">+D8+F8+H8-E8-G8-I8</f>
        <v>0</v>
      </c>
      <c r="K8" s="168">
        <f t="shared" ref="K8:K30" si="1">+E8+G8+I8-D8-F8-H8</f>
        <v>0</v>
      </c>
    </row>
    <row r="9" spans="1:11" x14ac:dyDescent="0.25">
      <c r="A9" s="165" t="s">
        <v>377</v>
      </c>
      <c r="B9" s="163"/>
      <c r="C9" s="167" t="s">
        <v>333</v>
      </c>
      <c r="D9" s="168"/>
      <c r="E9" s="168"/>
      <c r="F9" s="168"/>
      <c r="G9" s="168"/>
      <c r="H9" s="168"/>
      <c r="I9" s="168"/>
      <c r="J9" s="168">
        <f t="shared" si="0"/>
        <v>0</v>
      </c>
      <c r="K9" s="168">
        <f t="shared" si="1"/>
        <v>0</v>
      </c>
    </row>
    <row r="10" spans="1:11" x14ac:dyDescent="0.25">
      <c r="A10" s="165"/>
      <c r="B10" s="163" t="s">
        <v>334</v>
      </c>
      <c r="C10" s="167"/>
      <c r="D10" s="168"/>
      <c r="E10" s="168"/>
      <c r="F10" s="168"/>
      <c r="G10" s="168"/>
      <c r="H10" s="168"/>
      <c r="I10" s="168"/>
      <c r="J10" s="168">
        <f t="shared" si="0"/>
        <v>0</v>
      </c>
      <c r="K10" s="168">
        <f t="shared" si="1"/>
        <v>0</v>
      </c>
    </row>
    <row r="11" spans="1:11" x14ac:dyDescent="0.25">
      <c r="A11" s="165" t="s">
        <v>326</v>
      </c>
      <c r="B11" s="163"/>
      <c r="C11" s="167" t="s">
        <v>331</v>
      </c>
      <c r="D11" s="168"/>
      <c r="E11" s="168"/>
      <c r="F11" s="168"/>
      <c r="G11" s="168"/>
      <c r="H11" s="168"/>
      <c r="I11" s="168"/>
      <c r="J11" s="168">
        <f t="shared" si="0"/>
        <v>0</v>
      </c>
      <c r="K11" s="168">
        <f t="shared" si="1"/>
        <v>0</v>
      </c>
    </row>
    <row r="12" spans="1:11" x14ac:dyDescent="0.25">
      <c r="A12" s="165" t="s">
        <v>328</v>
      </c>
      <c r="B12" s="163"/>
      <c r="C12" s="167" t="s">
        <v>333</v>
      </c>
      <c r="D12" s="168"/>
      <c r="E12" s="168"/>
      <c r="F12" s="168"/>
      <c r="G12" s="168"/>
      <c r="H12" s="168"/>
      <c r="I12" s="168"/>
      <c r="J12" s="168">
        <f t="shared" si="0"/>
        <v>0</v>
      </c>
      <c r="K12" s="168">
        <f t="shared" si="1"/>
        <v>0</v>
      </c>
    </row>
    <row r="13" spans="1:11" x14ac:dyDescent="0.25">
      <c r="A13" s="165"/>
      <c r="B13" s="163"/>
      <c r="C13" s="167" t="s">
        <v>329</v>
      </c>
      <c r="D13" s="168"/>
      <c r="E13" s="168"/>
      <c r="F13" s="168"/>
      <c r="G13" s="168"/>
      <c r="H13" s="168"/>
      <c r="I13" s="168"/>
      <c r="J13" s="168">
        <f t="shared" si="0"/>
        <v>0</v>
      </c>
      <c r="K13" s="168">
        <f t="shared" si="1"/>
        <v>0</v>
      </c>
    </row>
    <row r="14" spans="1:11" x14ac:dyDescent="0.25">
      <c r="A14" s="169"/>
      <c r="B14" s="163" t="s">
        <v>338</v>
      </c>
      <c r="C14" s="167"/>
      <c r="D14" s="168"/>
      <c r="E14" s="168"/>
      <c r="F14" s="168"/>
      <c r="G14" s="168"/>
      <c r="H14" s="168"/>
      <c r="I14" s="168"/>
      <c r="J14" s="168">
        <f t="shared" si="0"/>
        <v>0</v>
      </c>
      <c r="K14" s="168">
        <f t="shared" si="1"/>
        <v>0</v>
      </c>
    </row>
    <row r="15" spans="1:11" x14ac:dyDescent="0.25">
      <c r="A15" s="165" t="s">
        <v>378</v>
      </c>
      <c r="B15" s="163"/>
      <c r="C15" s="167" t="s">
        <v>339</v>
      </c>
      <c r="D15" s="168"/>
      <c r="E15" s="168"/>
      <c r="F15" s="168"/>
      <c r="G15" s="168"/>
      <c r="H15" s="168"/>
      <c r="I15" s="168"/>
      <c r="J15" s="168">
        <f t="shared" si="0"/>
        <v>0</v>
      </c>
      <c r="K15" s="168">
        <f t="shared" si="1"/>
        <v>0</v>
      </c>
    </row>
    <row r="16" spans="1:11" x14ac:dyDescent="0.25">
      <c r="A16" s="165"/>
      <c r="B16" s="163"/>
      <c r="C16" s="167"/>
      <c r="D16" s="168"/>
      <c r="E16" s="168"/>
      <c r="F16" s="168"/>
      <c r="G16" s="168"/>
      <c r="H16" s="168"/>
      <c r="I16" s="168"/>
      <c r="J16" s="168">
        <f t="shared" si="0"/>
        <v>0</v>
      </c>
      <c r="K16" s="168">
        <f t="shared" si="1"/>
        <v>0</v>
      </c>
    </row>
    <row r="17" spans="1:11" x14ac:dyDescent="0.25">
      <c r="A17" s="165" t="s">
        <v>330</v>
      </c>
      <c r="B17" s="163"/>
      <c r="C17" s="170" t="s">
        <v>340</v>
      </c>
      <c r="D17" s="168"/>
      <c r="E17" s="168"/>
      <c r="F17" s="168"/>
      <c r="G17" s="168"/>
      <c r="H17" s="168"/>
      <c r="I17" s="168"/>
      <c r="J17" s="168">
        <f t="shared" si="0"/>
        <v>0</v>
      </c>
      <c r="K17" s="168">
        <f t="shared" si="1"/>
        <v>0</v>
      </c>
    </row>
    <row r="18" spans="1:11" x14ac:dyDescent="0.25">
      <c r="A18" s="165" t="s">
        <v>332</v>
      </c>
      <c r="B18" s="163"/>
      <c r="C18" s="167" t="s">
        <v>341</v>
      </c>
      <c r="D18" s="168"/>
      <c r="E18" s="168"/>
      <c r="F18" s="168"/>
      <c r="G18" s="168"/>
      <c r="H18" s="168"/>
      <c r="I18" s="168"/>
      <c r="J18" s="168">
        <f t="shared" si="0"/>
        <v>0</v>
      </c>
      <c r="K18" s="168">
        <f t="shared" si="1"/>
        <v>0</v>
      </c>
    </row>
    <row r="19" spans="1:11" x14ac:dyDescent="0.25">
      <c r="A19" s="165" t="s">
        <v>379</v>
      </c>
      <c r="B19" s="163"/>
      <c r="C19" s="167" t="s">
        <v>342</v>
      </c>
      <c r="D19" s="168"/>
      <c r="E19" s="168"/>
      <c r="F19" s="168"/>
      <c r="G19" s="168"/>
      <c r="H19" s="168"/>
      <c r="I19" s="168"/>
      <c r="J19" s="168">
        <f t="shared" si="0"/>
        <v>0</v>
      </c>
      <c r="K19" s="168">
        <f t="shared" si="1"/>
        <v>0</v>
      </c>
    </row>
    <row r="20" spans="1:11" x14ac:dyDescent="0.25">
      <c r="A20" s="165"/>
      <c r="B20" s="163"/>
      <c r="C20" s="167"/>
      <c r="D20" s="168"/>
      <c r="E20" s="168"/>
      <c r="F20" s="168"/>
      <c r="G20" s="168"/>
      <c r="H20" s="168"/>
      <c r="I20" s="168"/>
      <c r="J20" s="168">
        <f t="shared" si="0"/>
        <v>0</v>
      </c>
      <c r="K20" s="168">
        <f t="shared" si="1"/>
        <v>0</v>
      </c>
    </row>
    <row r="21" spans="1:11" x14ac:dyDescent="0.25">
      <c r="A21" s="165" t="s">
        <v>380</v>
      </c>
      <c r="B21" s="163" t="s">
        <v>343</v>
      </c>
      <c r="C21" s="167"/>
      <c r="D21" s="168"/>
      <c r="E21" s="168"/>
      <c r="F21" s="168"/>
      <c r="G21" s="168"/>
      <c r="H21" s="168"/>
      <c r="I21" s="168"/>
      <c r="J21" s="168">
        <f t="shared" si="0"/>
        <v>0</v>
      </c>
      <c r="K21" s="168">
        <f t="shared" si="1"/>
        <v>0</v>
      </c>
    </row>
    <row r="22" spans="1:11" x14ac:dyDescent="0.25">
      <c r="A22" s="165" t="s">
        <v>381</v>
      </c>
      <c r="B22" s="163"/>
      <c r="C22" s="163" t="s">
        <v>344</v>
      </c>
      <c r="D22" s="168"/>
      <c r="E22" s="168"/>
      <c r="F22" s="168"/>
      <c r="G22" s="168"/>
      <c r="H22" s="168"/>
      <c r="I22" s="168"/>
      <c r="J22" s="168">
        <f t="shared" si="0"/>
        <v>0</v>
      </c>
      <c r="K22" s="168">
        <f t="shared" si="1"/>
        <v>0</v>
      </c>
    </row>
    <row r="23" spans="1:11" x14ac:dyDescent="0.25">
      <c r="A23" s="165" t="s">
        <v>382</v>
      </c>
      <c r="B23" s="167"/>
      <c r="C23" s="167" t="s">
        <v>345</v>
      </c>
      <c r="D23" s="168"/>
      <c r="E23" s="168"/>
      <c r="F23" s="168"/>
      <c r="G23" s="168"/>
      <c r="H23" s="168"/>
      <c r="I23" s="168"/>
      <c r="J23" s="168">
        <f t="shared" si="0"/>
        <v>0</v>
      </c>
      <c r="K23" s="168">
        <f t="shared" si="1"/>
        <v>0</v>
      </c>
    </row>
    <row r="24" spans="1:11" x14ac:dyDescent="0.25">
      <c r="A24" s="165" t="s">
        <v>383</v>
      </c>
      <c r="B24" s="167"/>
      <c r="C24" s="167" t="s">
        <v>346</v>
      </c>
      <c r="D24" s="168"/>
      <c r="E24" s="168"/>
      <c r="F24" s="168"/>
      <c r="G24" s="168"/>
      <c r="H24" s="168"/>
      <c r="I24" s="168"/>
      <c r="J24" s="168">
        <f t="shared" si="0"/>
        <v>0</v>
      </c>
      <c r="K24" s="168">
        <f t="shared" si="1"/>
        <v>0</v>
      </c>
    </row>
    <row r="25" spans="1:11" x14ac:dyDescent="0.25">
      <c r="A25" s="165" t="s">
        <v>384</v>
      </c>
      <c r="B25" s="163"/>
      <c r="C25" s="167" t="s">
        <v>347</v>
      </c>
      <c r="D25" s="168"/>
      <c r="E25" s="168"/>
      <c r="F25" s="168"/>
      <c r="G25" s="168"/>
      <c r="H25" s="168"/>
      <c r="I25" s="168"/>
      <c r="J25" s="168">
        <f t="shared" si="0"/>
        <v>0</v>
      </c>
      <c r="K25" s="168">
        <f t="shared" si="1"/>
        <v>0</v>
      </c>
    </row>
    <row r="26" spans="1:11" x14ac:dyDescent="0.25">
      <c r="A26" s="165" t="s">
        <v>385</v>
      </c>
      <c r="B26" s="163"/>
      <c r="C26" s="167" t="s">
        <v>348</v>
      </c>
      <c r="D26" s="168"/>
      <c r="E26" s="168"/>
      <c r="F26" s="168"/>
      <c r="G26" s="168"/>
      <c r="H26" s="168"/>
      <c r="I26" s="168"/>
      <c r="J26" s="168">
        <f t="shared" si="0"/>
        <v>0</v>
      </c>
      <c r="K26" s="168">
        <f t="shared" si="1"/>
        <v>0</v>
      </c>
    </row>
    <row r="27" spans="1:11" x14ac:dyDescent="0.25">
      <c r="A27" s="165" t="s">
        <v>386</v>
      </c>
      <c r="B27" s="163"/>
      <c r="C27" s="167" t="s">
        <v>349</v>
      </c>
      <c r="D27" s="168"/>
      <c r="E27" s="168"/>
      <c r="F27" s="168"/>
      <c r="G27" s="168"/>
      <c r="H27" s="168"/>
      <c r="I27" s="168"/>
      <c r="J27" s="168">
        <f t="shared" si="0"/>
        <v>0</v>
      </c>
      <c r="K27" s="168">
        <f t="shared" si="1"/>
        <v>0</v>
      </c>
    </row>
    <row r="28" spans="1:11" x14ac:dyDescent="0.25">
      <c r="A28" s="165" t="s">
        <v>335</v>
      </c>
      <c r="B28" s="163"/>
      <c r="C28" s="167" t="s">
        <v>350</v>
      </c>
      <c r="D28" s="168"/>
      <c r="E28" s="168"/>
      <c r="F28" s="168"/>
      <c r="G28" s="168"/>
      <c r="H28" s="168"/>
      <c r="I28" s="168"/>
      <c r="J28" s="168">
        <f t="shared" si="0"/>
        <v>0</v>
      </c>
      <c r="K28" s="168">
        <f t="shared" si="1"/>
        <v>0</v>
      </c>
    </row>
    <row r="29" spans="1:11" x14ac:dyDescent="0.25">
      <c r="A29" s="165" t="s">
        <v>336</v>
      </c>
      <c r="B29" s="167"/>
      <c r="C29" s="167" t="s">
        <v>351</v>
      </c>
      <c r="D29" s="168"/>
      <c r="E29" s="168"/>
      <c r="F29" s="168"/>
      <c r="G29" s="168"/>
      <c r="H29" s="168"/>
      <c r="I29" s="168"/>
      <c r="J29" s="168">
        <f t="shared" si="0"/>
        <v>0</v>
      </c>
      <c r="K29" s="168">
        <f t="shared" si="1"/>
        <v>0</v>
      </c>
    </row>
    <row r="30" spans="1:11" x14ac:dyDescent="0.25">
      <c r="A30" s="165" t="s">
        <v>337</v>
      </c>
      <c r="B30" s="167"/>
      <c r="C30" s="167" t="s">
        <v>352</v>
      </c>
      <c r="D30" s="168"/>
      <c r="E30" s="168"/>
      <c r="F30" s="168"/>
      <c r="G30" s="168"/>
      <c r="H30" s="168"/>
      <c r="I30" s="168"/>
      <c r="J30" s="168">
        <f t="shared" si="0"/>
        <v>0</v>
      </c>
      <c r="K30" s="168">
        <f t="shared" si="1"/>
        <v>0</v>
      </c>
    </row>
    <row r="31" spans="1:11" x14ac:dyDescent="0.25">
      <c r="A31" s="165" t="s">
        <v>387</v>
      </c>
      <c r="B31" s="163"/>
      <c r="C31" s="167" t="s">
        <v>353</v>
      </c>
      <c r="D31" s="168"/>
      <c r="E31" s="168"/>
      <c r="F31" s="168"/>
      <c r="G31" s="168"/>
      <c r="H31" s="168"/>
      <c r="I31" s="168"/>
      <c r="J31" s="168">
        <f t="shared" ref="J31:J54" si="2">+D31+F31+H31-E31-G31-I31</f>
        <v>0</v>
      </c>
      <c r="K31" s="168">
        <f t="shared" ref="K31:K54" si="3">+E31+G31+I31-D31-F31-H31</f>
        <v>0</v>
      </c>
    </row>
    <row r="32" spans="1:11" x14ac:dyDescent="0.25">
      <c r="A32" s="165"/>
      <c r="B32" s="163" t="s">
        <v>354</v>
      </c>
      <c r="C32" s="167"/>
      <c r="D32" s="168"/>
      <c r="E32" s="168"/>
      <c r="F32" s="168"/>
      <c r="G32" s="168"/>
      <c r="H32" s="168"/>
      <c r="I32" s="168"/>
      <c r="J32" s="168">
        <f t="shared" si="2"/>
        <v>0</v>
      </c>
      <c r="K32" s="168">
        <f t="shared" si="3"/>
        <v>0</v>
      </c>
    </row>
    <row r="33" spans="1:11" x14ac:dyDescent="0.25">
      <c r="A33" s="165" t="s">
        <v>388</v>
      </c>
      <c r="B33" s="167"/>
      <c r="C33" s="167" t="s">
        <v>354</v>
      </c>
      <c r="D33" s="168"/>
      <c r="E33" s="168"/>
      <c r="F33" s="168"/>
      <c r="G33" s="168"/>
      <c r="H33" s="168"/>
      <c r="I33" s="168"/>
      <c r="J33" s="168">
        <f t="shared" si="2"/>
        <v>0</v>
      </c>
      <c r="K33" s="168">
        <f t="shared" si="3"/>
        <v>0</v>
      </c>
    </row>
    <row r="34" spans="1:11" x14ac:dyDescent="0.25">
      <c r="A34" s="165" t="s">
        <v>390</v>
      </c>
      <c r="B34" s="163"/>
      <c r="C34" s="171" t="s">
        <v>355</v>
      </c>
      <c r="D34" s="168"/>
      <c r="E34" s="168"/>
      <c r="F34" s="168"/>
      <c r="G34" s="168"/>
      <c r="H34" s="168"/>
      <c r="I34" s="168"/>
      <c r="J34" s="168">
        <f t="shared" si="2"/>
        <v>0</v>
      </c>
      <c r="K34" s="168">
        <f t="shared" si="3"/>
        <v>0</v>
      </c>
    </row>
    <row r="35" spans="1:11" x14ac:dyDescent="0.25">
      <c r="A35" s="165"/>
      <c r="B35" s="163"/>
      <c r="C35" s="167"/>
      <c r="D35" s="168"/>
      <c r="E35" s="168"/>
      <c r="F35" s="168"/>
      <c r="G35" s="168"/>
      <c r="H35" s="168"/>
      <c r="I35" s="168"/>
      <c r="J35" s="168">
        <f t="shared" si="2"/>
        <v>0</v>
      </c>
      <c r="K35" s="168">
        <f t="shared" si="3"/>
        <v>0</v>
      </c>
    </row>
    <row r="36" spans="1:11" x14ac:dyDescent="0.25">
      <c r="A36" s="165"/>
      <c r="B36" s="163" t="s">
        <v>356</v>
      </c>
      <c r="C36" s="167"/>
      <c r="D36" s="168"/>
      <c r="E36" s="168"/>
      <c r="F36" s="168"/>
      <c r="G36" s="168"/>
      <c r="H36" s="168"/>
      <c r="I36" s="168"/>
      <c r="J36" s="168">
        <f t="shared" si="2"/>
        <v>0</v>
      </c>
      <c r="K36" s="168">
        <f t="shared" si="3"/>
        <v>0</v>
      </c>
    </row>
    <row r="37" spans="1:11" x14ac:dyDescent="0.25">
      <c r="A37" s="165" t="s">
        <v>391</v>
      </c>
      <c r="B37" s="163"/>
      <c r="C37" s="167" t="s">
        <v>357</v>
      </c>
      <c r="D37" s="168"/>
      <c r="E37" s="168"/>
      <c r="F37" s="168"/>
      <c r="G37" s="168"/>
      <c r="H37" s="168"/>
      <c r="I37" s="168"/>
      <c r="J37" s="168">
        <f t="shared" si="2"/>
        <v>0</v>
      </c>
      <c r="K37" s="168">
        <f t="shared" si="3"/>
        <v>0</v>
      </c>
    </row>
    <row r="38" spans="1:11" x14ac:dyDescent="0.25">
      <c r="A38" s="165" t="s">
        <v>392</v>
      </c>
      <c r="B38" s="163"/>
      <c r="C38" s="171" t="s">
        <v>358</v>
      </c>
      <c r="D38" s="168"/>
      <c r="E38" s="168"/>
      <c r="F38" s="168"/>
      <c r="G38" s="168"/>
      <c r="H38" s="168"/>
      <c r="I38" s="168"/>
      <c r="J38" s="168">
        <f t="shared" si="2"/>
        <v>0</v>
      </c>
      <c r="K38" s="168">
        <f t="shared" si="3"/>
        <v>0</v>
      </c>
    </row>
    <row r="39" spans="1:11" x14ac:dyDescent="0.25">
      <c r="A39" s="165" t="s">
        <v>393</v>
      </c>
      <c r="B39" s="163"/>
      <c r="C39" s="171" t="s">
        <v>359</v>
      </c>
      <c r="D39" s="168"/>
      <c r="E39" s="168"/>
      <c r="F39" s="168"/>
      <c r="G39" s="168"/>
      <c r="H39" s="168"/>
      <c r="I39" s="168"/>
      <c r="J39" s="168">
        <f t="shared" si="2"/>
        <v>0</v>
      </c>
      <c r="K39" s="168">
        <f t="shared" si="3"/>
        <v>0</v>
      </c>
    </row>
    <row r="40" spans="1:11" x14ac:dyDescent="0.25">
      <c r="A40" s="165" t="s">
        <v>394</v>
      </c>
      <c r="B40" s="163"/>
      <c r="C40" s="171" t="s">
        <v>360</v>
      </c>
      <c r="D40" s="168"/>
      <c r="E40" s="168"/>
      <c r="F40" s="168"/>
      <c r="G40" s="168"/>
      <c r="H40" s="168"/>
      <c r="I40" s="168"/>
      <c r="J40" s="168">
        <f t="shared" si="2"/>
        <v>0</v>
      </c>
      <c r="K40" s="168">
        <f t="shared" si="3"/>
        <v>0</v>
      </c>
    </row>
    <row r="41" spans="1:11" x14ac:dyDescent="0.25">
      <c r="A41" s="165" t="s">
        <v>395</v>
      </c>
      <c r="B41" s="163"/>
      <c r="C41" s="171" t="s">
        <v>361</v>
      </c>
      <c r="D41" s="168"/>
      <c r="E41" s="168"/>
      <c r="F41" s="168"/>
      <c r="G41" s="168"/>
      <c r="H41" s="168"/>
      <c r="I41" s="168"/>
      <c r="J41" s="168">
        <f t="shared" si="2"/>
        <v>0</v>
      </c>
      <c r="K41" s="168">
        <f t="shared" si="3"/>
        <v>0</v>
      </c>
    </row>
    <row r="42" spans="1:11" x14ac:dyDescent="0.25">
      <c r="A42" s="165" t="s">
        <v>396</v>
      </c>
      <c r="B42" s="163"/>
      <c r="C42" s="171" t="s">
        <v>362</v>
      </c>
      <c r="D42" s="168"/>
      <c r="E42" s="168"/>
      <c r="F42" s="168"/>
      <c r="G42" s="168"/>
      <c r="H42" s="168"/>
      <c r="I42" s="168"/>
      <c r="J42" s="168">
        <f t="shared" si="2"/>
        <v>0</v>
      </c>
      <c r="K42" s="168">
        <f t="shared" si="3"/>
        <v>0</v>
      </c>
    </row>
    <row r="43" spans="1:11" x14ac:dyDescent="0.25">
      <c r="A43" s="165" t="s">
        <v>397</v>
      </c>
      <c r="B43" s="163"/>
      <c r="C43" s="171" t="s">
        <v>363</v>
      </c>
      <c r="D43" s="168"/>
      <c r="E43" s="168"/>
      <c r="F43" s="168"/>
      <c r="G43" s="168"/>
      <c r="H43" s="168"/>
      <c r="I43" s="168"/>
      <c r="J43" s="168">
        <f t="shared" si="2"/>
        <v>0</v>
      </c>
      <c r="K43" s="168">
        <f t="shared" si="3"/>
        <v>0</v>
      </c>
    </row>
    <row r="44" spans="1:11" x14ac:dyDescent="0.25">
      <c r="A44" s="165" t="s">
        <v>398</v>
      </c>
      <c r="B44" s="163"/>
      <c r="C44" s="171" t="s">
        <v>364</v>
      </c>
      <c r="D44" s="168"/>
      <c r="E44" s="168"/>
      <c r="F44" s="168"/>
      <c r="G44" s="168"/>
      <c r="H44" s="168"/>
      <c r="I44" s="168"/>
      <c r="J44" s="168">
        <f t="shared" si="2"/>
        <v>0</v>
      </c>
      <c r="K44" s="168">
        <f t="shared" si="3"/>
        <v>0</v>
      </c>
    </row>
    <row r="45" spans="1:11" x14ac:dyDescent="0.25">
      <c r="A45" s="165" t="s">
        <v>399</v>
      </c>
      <c r="B45" s="163"/>
      <c r="C45" s="171" t="s">
        <v>365</v>
      </c>
      <c r="D45" s="168"/>
      <c r="E45" s="168"/>
      <c r="F45" s="168"/>
      <c r="G45" s="168"/>
      <c r="H45" s="168"/>
      <c r="I45" s="168"/>
      <c r="J45" s="168">
        <f t="shared" si="2"/>
        <v>0</v>
      </c>
      <c r="K45" s="168">
        <f t="shared" si="3"/>
        <v>0</v>
      </c>
    </row>
    <row r="46" spans="1:11" x14ac:dyDescent="0.25">
      <c r="A46" s="165" t="s">
        <v>389</v>
      </c>
      <c r="B46" s="163"/>
      <c r="C46" s="171" t="s">
        <v>366</v>
      </c>
      <c r="D46" s="168"/>
      <c r="E46" s="168"/>
      <c r="F46" s="168"/>
      <c r="G46" s="168"/>
      <c r="H46" s="168"/>
      <c r="I46" s="168"/>
      <c r="J46" s="168">
        <f t="shared" si="2"/>
        <v>0</v>
      </c>
      <c r="K46" s="168">
        <f t="shared" si="3"/>
        <v>0</v>
      </c>
    </row>
    <row r="47" spans="1:11" x14ac:dyDescent="0.25">
      <c r="A47" s="165" t="s">
        <v>400</v>
      </c>
      <c r="B47" s="163"/>
      <c r="C47" s="171" t="s">
        <v>367</v>
      </c>
      <c r="D47" s="168"/>
      <c r="E47" s="168"/>
      <c r="F47" s="168"/>
      <c r="G47" s="168"/>
      <c r="H47" s="168"/>
      <c r="I47" s="168"/>
      <c r="J47" s="168">
        <f t="shared" si="2"/>
        <v>0</v>
      </c>
      <c r="K47" s="168">
        <f t="shared" si="3"/>
        <v>0</v>
      </c>
    </row>
    <row r="48" spans="1:11" x14ac:dyDescent="0.25">
      <c r="A48" s="165" t="s">
        <v>401</v>
      </c>
      <c r="B48" s="163"/>
      <c r="C48" s="171" t="s">
        <v>368</v>
      </c>
      <c r="D48" s="168"/>
      <c r="E48" s="168"/>
      <c r="F48" s="168"/>
      <c r="G48" s="168"/>
      <c r="H48" s="168"/>
      <c r="I48" s="168"/>
      <c r="J48" s="168">
        <f t="shared" si="2"/>
        <v>0</v>
      </c>
      <c r="K48" s="168">
        <f t="shared" si="3"/>
        <v>0</v>
      </c>
    </row>
    <row r="49" spans="1:11" x14ac:dyDescent="0.25">
      <c r="A49" s="165" t="s">
        <v>402</v>
      </c>
      <c r="B49" s="163"/>
      <c r="C49" s="172" t="s">
        <v>347</v>
      </c>
      <c r="D49" s="168"/>
      <c r="E49" s="168"/>
      <c r="F49" s="168"/>
      <c r="G49" s="168"/>
      <c r="H49" s="168"/>
      <c r="I49" s="168"/>
      <c r="J49" s="168">
        <f t="shared" si="2"/>
        <v>0</v>
      </c>
      <c r="K49" s="168">
        <f t="shared" si="3"/>
        <v>0</v>
      </c>
    </row>
    <row r="50" spans="1:11" x14ac:dyDescent="0.25">
      <c r="A50" s="165" t="s">
        <v>403</v>
      </c>
      <c r="B50" s="163"/>
      <c r="C50" s="167" t="s">
        <v>369</v>
      </c>
      <c r="D50" s="168"/>
      <c r="E50" s="168"/>
      <c r="F50" s="168"/>
      <c r="G50" s="168"/>
      <c r="H50" s="168"/>
      <c r="I50" s="168"/>
      <c r="J50" s="168">
        <f t="shared" si="2"/>
        <v>0</v>
      </c>
      <c r="K50" s="168">
        <f t="shared" si="3"/>
        <v>0</v>
      </c>
    </row>
    <row r="51" spans="1:11" x14ac:dyDescent="0.25">
      <c r="A51" s="165" t="s">
        <v>404</v>
      </c>
      <c r="B51" s="163"/>
      <c r="C51" s="167" t="s">
        <v>370</v>
      </c>
      <c r="D51" s="168"/>
      <c r="E51" s="168"/>
      <c r="F51" s="168"/>
      <c r="G51" s="168"/>
      <c r="H51" s="168"/>
      <c r="I51" s="168"/>
      <c r="J51" s="168">
        <f t="shared" si="2"/>
        <v>0</v>
      </c>
      <c r="K51" s="168">
        <f t="shared" si="3"/>
        <v>0</v>
      </c>
    </row>
    <row r="52" spans="1:11" x14ac:dyDescent="0.25">
      <c r="A52" s="165" t="s">
        <v>405</v>
      </c>
      <c r="B52" s="163"/>
      <c r="C52" s="167" t="s">
        <v>371</v>
      </c>
      <c r="D52" s="168"/>
      <c r="E52" s="168"/>
      <c r="F52" s="168"/>
      <c r="G52" s="168"/>
      <c r="H52" s="168"/>
      <c r="I52" s="168"/>
      <c r="J52" s="168">
        <f t="shared" si="2"/>
        <v>0</v>
      </c>
      <c r="K52" s="168">
        <f t="shared" si="3"/>
        <v>0</v>
      </c>
    </row>
    <row r="53" spans="1:11" x14ac:dyDescent="0.25">
      <c r="A53" s="165" t="s">
        <v>406</v>
      </c>
      <c r="B53" s="163"/>
      <c r="C53" s="167" t="s">
        <v>372</v>
      </c>
      <c r="D53" s="168"/>
      <c r="E53" s="168"/>
      <c r="F53" s="168"/>
      <c r="G53" s="168"/>
      <c r="H53" s="168"/>
      <c r="I53" s="168"/>
      <c r="J53" s="168">
        <f t="shared" si="2"/>
        <v>0</v>
      </c>
      <c r="K53" s="168">
        <f t="shared" si="3"/>
        <v>0</v>
      </c>
    </row>
    <row r="54" spans="1:11" x14ac:dyDescent="0.25">
      <c r="A54" s="165" t="s">
        <v>407</v>
      </c>
      <c r="B54" s="163"/>
      <c r="C54" s="167" t="s">
        <v>373</v>
      </c>
      <c r="D54" s="168"/>
      <c r="E54" s="168"/>
      <c r="F54" s="168"/>
      <c r="G54" s="168"/>
      <c r="H54" s="168"/>
      <c r="I54" s="168"/>
      <c r="J54" s="168">
        <f t="shared" si="2"/>
        <v>0</v>
      </c>
      <c r="K54" s="168">
        <f t="shared" si="3"/>
        <v>0</v>
      </c>
    </row>
    <row r="55" spans="1:11" x14ac:dyDescent="0.25">
      <c r="A55" s="169"/>
      <c r="B55" s="169"/>
      <c r="C55" s="173" t="s">
        <v>31</v>
      </c>
      <c r="D55" s="168"/>
      <c r="E55" s="168"/>
      <c r="F55" s="168"/>
      <c r="G55" s="168"/>
      <c r="H55" s="168"/>
      <c r="I55" s="168"/>
      <c r="J55" s="168">
        <f>SUM(J7:J54)</f>
        <v>0</v>
      </c>
      <c r="K55" s="168">
        <f>SUM(K7:K54)</f>
        <v>0</v>
      </c>
    </row>
  </sheetData>
  <mergeCells count="6">
    <mergeCell ref="D3:E3"/>
    <mergeCell ref="F3:G3"/>
    <mergeCell ref="H3:I3"/>
    <mergeCell ref="J3:K3"/>
    <mergeCell ref="A1:K1"/>
    <mergeCell ref="A2:K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view="pageBreakPreview" zoomScale="60" zoomScaleNormal="80" workbookViewId="0">
      <pane xSplit="1" ySplit="6" topLeftCell="B7" activePane="bottomRight" state="frozen"/>
      <selection pane="topRight" activeCell="B1" sqref="B1"/>
      <selection pane="bottomLeft" activeCell="A5" sqref="A5"/>
      <selection pane="bottomRight" activeCell="L9" sqref="L9"/>
    </sheetView>
  </sheetViews>
  <sheetFormatPr defaultColWidth="8.88671875" defaultRowHeight="14.4" x14ac:dyDescent="0.3"/>
  <cols>
    <col min="1" max="1" width="34.109375" style="18" customWidth="1"/>
    <col min="2" max="13" width="14.33203125" style="17" customWidth="1"/>
    <col min="14" max="14" width="14.33203125" style="75" customWidth="1"/>
    <col min="15" max="16384" width="8.88671875" style="18"/>
  </cols>
  <sheetData>
    <row r="1" spans="1:19" ht="26.25" customHeight="1" x14ac:dyDescent="0.3">
      <c r="A1" s="271" t="str">
        <f>+'Rec &amp; Pmt'!A1:C1</f>
        <v>THE METHODIST CHURCH GHANA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3"/>
    </row>
    <row r="2" spans="1:19" ht="26.25" customHeight="1" x14ac:dyDescent="0.3">
      <c r="A2" s="274" t="str">
        <f>+'Rec &amp; Pmt'!A2:C2</f>
        <v>ACCRA NORTH DIOCESE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6"/>
    </row>
    <row r="3" spans="1:19" ht="26.25" customHeight="1" x14ac:dyDescent="0.3">
      <c r="A3" s="274" t="str">
        <f>+'Rec &amp; Pmt'!A3:C3</f>
        <v>GA SUB-URBAN CIRCUIT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6"/>
    </row>
    <row r="4" spans="1:19" ht="26.25" customHeight="1" x14ac:dyDescent="0.3">
      <c r="A4" s="274" t="str">
        <f>+'Rec &amp; Pmt'!A4:H4</f>
        <v>HEBRON  SOCIETY</v>
      </c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6"/>
    </row>
    <row r="5" spans="1:19" ht="26.25" customHeight="1" x14ac:dyDescent="0.3">
      <c r="A5" s="274" t="str">
        <f>+'Rec &amp; Pmt'!A5:C5</f>
        <v>STATEMENT OF ACCOUNT FOR THE PERIOD 1ST JANUARY,2024 TO 31ST DECEMBER,2024</v>
      </c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6"/>
    </row>
    <row r="6" spans="1:19" s="19" customFormat="1" ht="26.25" customHeight="1" x14ac:dyDescent="0.3">
      <c r="A6" s="37"/>
      <c r="B6" s="116" t="s">
        <v>22</v>
      </c>
      <c r="C6" s="116" t="s">
        <v>23</v>
      </c>
      <c r="D6" s="116" t="s">
        <v>24</v>
      </c>
      <c r="E6" s="116" t="s">
        <v>25</v>
      </c>
      <c r="F6" s="116" t="s">
        <v>26</v>
      </c>
      <c r="G6" s="116" t="s">
        <v>139</v>
      </c>
      <c r="H6" s="116" t="s">
        <v>140</v>
      </c>
      <c r="I6" s="116" t="s">
        <v>29</v>
      </c>
      <c r="J6" s="116" t="s">
        <v>30</v>
      </c>
      <c r="K6" s="116" t="s">
        <v>19</v>
      </c>
      <c r="L6" s="116" t="s">
        <v>20</v>
      </c>
      <c r="M6" s="116" t="s">
        <v>21</v>
      </c>
      <c r="N6" s="71" t="s">
        <v>31</v>
      </c>
    </row>
    <row r="7" spans="1:19" s="19" customFormat="1" ht="36" customHeight="1" x14ac:dyDescent="0.3">
      <c r="A7" s="39" t="s">
        <v>3</v>
      </c>
      <c r="B7" s="38" t="s">
        <v>4</v>
      </c>
      <c r="C7" s="38" t="s">
        <v>4</v>
      </c>
      <c r="D7" s="38" t="s">
        <v>4</v>
      </c>
      <c r="E7" s="38" t="s">
        <v>4</v>
      </c>
      <c r="F7" s="38" t="s">
        <v>4</v>
      </c>
      <c r="G7" s="38" t="s">
        <v>4</v>
      </c>
      <c r="H7" s="38" t="s">
        <v>4</v>
      </c>
      <c r="I7" s="38" t="s">
        <v>4</v>
      </c>
      <c r="J7" s="38" t="s">
        <v>4</v>
      </c>
      <c r="K7" s="38" t="s">
        <v>4</v>
      </c>
      <c r="L7" s="38" t="s">
        <v>4</v>
      </c>
      <c r="M7" s="38" t="s">
        <v>4</v>
      </c>
      <c r="N7" s="71" t="s">
        <v>4</v>
      </c>
    </row>
    <row r="8" spans="1:19" ht="36" customHeight="1" x14ac:dyDescent="0.3">
      <c r="A8" s="50" t="s">
        <v>141</v>
      </c>
      <c r="B8" s="36">
        <f>'weekly income statement'!C15</f>
        <v>2682.2</v>
      </c>
      <c r="C8" s="36">
        <f>'weekly income statement'!D15</f>
        <v>2715.3</v>
      </c>
      <c r="D8" s="36">
        <f>'weekly income statement'!E15</f>
        <v>4454.3999999999996</v>
      </c>
      <c r="E8" s="36">
        <f>'weekly income statement'!F15</f>
        <v>2965.6</v>
      </c>
      <c r="F8" s="36">
        <f>'weekly income statement'!G15</f>
        <v>2499.3000000000002</v>
      </c>
      <c r="G8" s="36">
        <f>'weekly income statement'!H15</f>
        <v>3969.5</v>
      </c>
      <c r="H8" s="36">
        <f>'weekly income statement'!I15</f>
        <v>2818.3</v>
      </c>
      <c r="I8" s="36">
        <f>'weekly income statement'!J15</f>
        <v>2336.5</v>
      </c>
      <c r="J8" s="36">
        <f>'weekly income statement'!K15</f>
        <v>4176.5999999999995</v>
      </c>
      <c r="K8" s="36">
        <f>'weekly income statement'!L15</f>
        <v>3376.7</v>
      </c>
      <c r="L8" s="36">
        <f>'weekly income statement'!M15</f>
        <v>3419.4</v>
      </c>
      <c r="M8" s="36">
        <f>'weekly income statement'!N15</f>
        <v>5076.7000000000007</v>
      </c>
      <c r="N8" s="72">
        <f>B8+C8+D8+E8+F8+G8+H8+I8+J8+K8+L8+M8</f>
        <v>40490.5</v>
      </c>
    </row>
    <row r="9" spans="1:19" ht="36" customHeight="1" x14ac:dyDescent="0.3">
      <c r="A9" s="50" t="s">
        <v>144</v>
      </c>
      <c r="B9" s="36">
        <f>'weekly income statement'!C23</f>
        <v>2085</v>
      </c>
      <c r="C9" s="36">
        <f>'weekly income statement'!D23</f>
        <v>9010</v>
      </c>
      <c r="D9" s="36">
        <f>'weekly income statement'!E23</f>
        <v>10180</v>
      </c>
      <c r="E9" s="36">
        <f>'weekly income statement'!F23</f>
        <v>5240</v>
      </c>
      <c r="F9" s="36">
        <f>'weekly income statement'!G23</f>
        <v>7405</v>
      </c>
      <c r="G9" s="36">
        <f>'weekly income statement'!H23</f>
        <v>9338</v>
      </c>
      <c r="H9" s="36">
        <f>'weekly income statement'!I23</f>
        <v>7218</v>
      </c>
      <c r="I9" s="36">
        <f>'weekly income statement'!J23</f>
        <v>3820</v>
      </c>
      <c r="J9" s="36">
        <f>'weekly income statement'!K23</f>
        <v>13500</v>
      </c>
      <c r="K9" s="36">
        <f>'weekly income statement'!L23</f>
        <v>9100</v>
      </c>
      <c r="L9" s="36">
        <f>'weekly income statement'!M23</f>
        <v>10100</v>
      </c>
      <c r="M9" s="36">
        <f>'weekly income statement'!N23</f>
        <v>9715</v>
      </c>
      <c r="N9" s="72">
        <f>B9+C9+D9+E9+F9+G9+H9+I9+J9+K9+L9+M9</f>
        <v>96711</v>
      </c>
    </row>
    <row r="10" spans="1:19" ht="36" customHeight="1" x14ac:dyDescent="0.3">
      <c r="A10" s="50" t="s">
        <v>150</v>
      </c>
      <c r="B10" s="36">
        <f>'weekly income statement'!C36</f>
        <v>482.59999999999997</v>
      </c>
      <c r="C10" s="36">
        <f>'weekly income statement'!D36</f>
        <v>260</v>
      </c>
      <c r="D10" s="36">
        <f>'weekly income statement'!E36</f>
        <v>218.5</v>
      </c>
      <c r="E10" s="36">
        <f>'weekly income statement'!F36</f>
        <v>0</v>
      </c>
      <c r="F10" s="36">
        <f>'weekly income statement'!G36</f>
        <v>0</v>
      </c>
      <c r="G10" s="36">
        <f>'weekly income statement'!H36</f>
        <v>0</v>
      </c>
      <c r="H10" s="36">
        <f>'weekly income statement'!I36</f>
        <v>55</v>
      </c>
      <c r="I10" s="36">
        <f>'weekly income statement'!J36</f>
        <v>306</v>
      </c>
      <c r="J10" s="36">
        <f>'weekly income statement'!K36</f>
        <v>305</v>
      </c>
      <c r="K10" s="36">
        <f>'weekly income statement'!L36</f>
        <v>337</v>
      </c>
      <c r="L10" s="36">
        <f>'weekly income statement'!M36</f>
        <v>373</v>
      </c>
      <c r="M10" s="36">
        <f>'weekly income statement'!N36</f>
        <v>435</v>
      </c>
      <c r="N10" s="72">
        <f t="shared" ref="N10:N24" si="0">B10+C10+D10+E10+F10+G10+H10+I10+J10+K10+L10+M10</f>
        <v>2772.1</v>
      </c>
      <c r="S10" s="18">
        <v>2110</v>
      </c>
    </row>
    <row r="11" spans="1:19" ht="36" customHeight="1" x14ac:dyDescent="0.3">
      <c r="A11" s="50" t="s">
        <v>143</v>
      </c>
      <c r="B11" s="36">
        <f>'weekly income statement'!C44</f>
        <v>350</v>
      </c>
      <c r="C11" s="36">
        <f>'weekly income statement'!D44</f>
        <v>200</v>
      </c>
      <c r="D11" s="36">
        <f>'weekly income statement'!E44</f>
        <v>50</v>
      </c>
      <c r="E11" s="36">
        <f>'weekly income statement'!F44</f>
        <v>100</v>
      </c>
      <c r="F11" s="36">
        <f>'weekly income statement'!G44</f>
        <v>250</v>
      </c>
      <c r="G11" s="36">
        <f>'weekly income statement'!H44</f>
        <v>0</v>
      </c>
      <c r="H11" s="36">
        <f>'weekly income statement'!I44</f>
        <v>310</v>
      </c>
      <c r="I11" s="36">
        <f>'weekly income statement'!J44</f>
        <v>350</v>
      </c>
      <c r="J11" s="36">
        <f>'weekly income statement'!K44</f>
        <v>930</v>
      </c>
      <c r="K11" s="36">
        <f>'weekly income statement'!L44</f>
        <v>500</v>
      </c>
      <c r="L11" s="36">
        <f>'weekly income statement'!M44</f>
        <v>400</v>
      </c>
      <c r="M11" s="36">
        <f>'weekly income statement'!N44</f>
        <v>1050</v>
      </c>
      <c r="N11" s="72">
        <f t="shared" si="0"/>
        <v>4490</v>
      </c>
      <c r="S11" s="18">
        <v>880</v>
      </c>
    </row>
    <row r="12" spans="1:19" ht="36" customHeight="1" x14ac:dyDescent="0.3">
      <c r="A12" s="50" t="s">
        <v>107</v>
      </c>
      <c r="B12" s="36">
        <f>'weekly income statement'!C52</f>
        <v>0</v>
      </c>
      <c r="C12" s="36">
        <f>'weekly income statement'!D52</f>
        <v>12134.9</v>
      </c>
      <c r="D12" s="36">
        <f>'weekly income statement'!E52</f>
        <v>47785</v>
      </c>
      <c r="E12" s="36">
        <f>'weekly income statement'!F52</f>
        <v>15950</v>
      </c>
      <c r="F12" s="36">
        <f>'weekly income statement'!G52</f>
        <v>3890</v>
      </c>
      <c r="G12" s="36">
        <f>'weekly income statement'!H52</f>
        <v>40200</v>
      </c>
      <c r="H12" s="36">
        <f>'weekly income statement'!I52</f>
        <v>630</v>
      </c>
      <c r="I12" s="36">
        <f>'weekly income statement'!J52</f>
        <v>100</v>
      </c>
      <c r="J12" s="36">
        <f>'weekly income statement'!K52</f>
        <v>24645</v>
      </c>
      <c r="K12" s="36">
        <f>'weekly income statement'!L52</f>
        <v>0</v>
      </c>
      <c r="L12" s="36">
        <f>'weekly income statement'!M52</f>
        <v>34444</v>
      </c>
      <c r="M12" s="36">
        <f>'weekly income statement'!N52</f>
        <v>58680</v>
      </c>
      <c r="N12" s="72">
        <f t="shared" si="0"/>
        <v>238458.9</v>
      </c>
      <c r="S12" s="18">
        <v>660</v>
      </c>
    </row>
    <row r="13" spans="1:19" ht="36" customHeight="1" x14ac:dyDescent="0.3">
      <c r="A13" s="45" t="s">
        <v>6</v>
      </c>
      <c r="B13" s="36">
        <f>'weekly income statement'!C54</f>
        <v>0</v>
      </c>
      <c r="C13" s="36">
        <f>'weekly income statement'!D54</f>
        <v>0</v>
      </c>
      <c r="D13" s="36">
        <f>'weekly income statement'!E54</f>
        <v>0</v>
      </c>
      <c r="E13" s="36">
        <f>'weekly income statement'!F54</f>
        <v>0</v>
      </c>
      <c r="F13" s="36">
        <f>'weekly income statement'!G54</f>
        <v>2970</v>
      </c>
      <c r="G13" s="36">
        <f>'weekly income statement'!H54</f>
        <v>334</v>
      </c>
      <c r="H13" s="36">
        <f>'weekly income statement'!I54</f>
        <v>513.5</v>
      </c>
      <c r="I13" s="36">
        <f>'weekly income statement'!J54</f>
        <v>347</v>
      </c>
      <c r="J13" s="36">
        <f>'weekly income statement'!K54</f>
        <v>540</v>
      </c>
      <c r="K13" s="36">
        <f>'weekly income statement'!L54</f>
        <v>0</v>
      </c>
      <c r="L13" s="36">
        <f>'weekly income statement'!M54</f>
        <v>0</v>
      </c>
      <c r="M13" s="36">
        <f>'weekly income statement'!N54</f>
        <v>0</v>
      </c>
      <c r="N13" s="72">
        <f t="shared" si="0"/>
        <v>4704.5</v>
      </c>
    </row>
    <row r="14" spans="1:19" ht="36" customHeight="1" x14ac:dyDescent="0.3">
      <c r="A14" s="45" t="s">
        <v>145</v>
      </c>
      <c r="B14" s="36">
        <f>'weekly income statement'!C55</f>
        <v>0</v>
      </c>
      <c r="C14" s="36">
        <f>'weekly income statement'!D55</f>
        <v>0</v>
      </c>
      <c r="D14" s="36">
        <f>'weekly income statement'!E55</f>
        <v>0</v>
      </c>
      <c r="E14" s="36">
        <f>'weekly income statement'!F55</f>
        <v>432</v>
      </c>
      <c r="F14" s="36">
        <f>'weekly income statement'!G55</f>
        <v>0</v>
      </c>
      <c r="G14" s="36">
        <f>'weekly income statement'!H55</f>
        <v>0</v>
      </c>
      <c r="H14" s="36">
        <f>'weekly income statement'!I55</f>
        <v>190</v>
      </c>
      <c r="I14" s="36">
        <f>'weekly income statement'!J55</f>
        <v>70</v>
      </c>
      <c r="J14" s="36">
        <f>'weekly income statement'!K55</f>
        <v>10</v>
      </c>
      <c r="K14" s="36">
        <f>'weekly income statement'!L55</f>
        <v>0</v>
      </c>
      <c r="L14" s="36">
        <f>'weekly income statement'!M55</f>
        <v>0</v>
      </c>
      <c r="M14" s="36">
        <f>'weekly income statement'!N55</f>
        <v>191</v>
      </c>
      <c r="N14" s="72">
        <f t="shared" si="0"/>
        <v>893</v>
      </c>
      <c r="S14" s="174">
        <v>100</v>
      </c>
    </row>
    <row r="15" spans="1:19" ht="36" customHeight="1" x14ac:dyDescent="0.3">
      <c r="A15" s="45" t="s">
        <v>428</v>
      </c>
      <c r="B15" s="36">
        <f>'weekly income statement'!C56</f>
        <v>0</v>
      </c>
      <c r="C15" s="36">
        <f>'weekly income statement'!D56</f>
        <v>0</v>
      </c>
      <c r="D15" s="36">
        <f>'weekly income statement'!E56</f>
        <v>0</v>
      </c>
      <c r="E15" s="36">
        <f>'weekly income statement'!F56</f>
        <v>584</v>
      </c>
      <c r="F15" s="36">
        <f>'weekly income statement'!G56</f>
        <v>210</v>
      </c>
      <c r="G15" s="36">
        <f>'weekly income statement'!H56</f>
        <v>253</v>
      </c>
      <c r="H15" s="36">
        <f>'weekly income statement'!I56</f>
        <v>0</v>
      </c>
      <c r="I15" s="36">
        <f>'weekly income statement'!J56</f>
        <v>75</v>
      </c>
      <c r="J15" s="36">
        <f>'weekly income statement'!K56</f>
        <v>0</v>
      </c>
      <c r="K15" s="36">
        <f>'weekly income statement'!L56</f>
        <v>545.6</v>
      </c>
      <c r="L15" s="36">
        <f>'weekly income statement'!M56</f>
        <v>762</v>
      </c>
      <c r="M15" s="36">
        <f>'weekly income statement'!N56</f>
        <v>0</v>
      </c>
      <c r="N15" s="72">
        <f t="shared" si="0"/>
        <v>2429.6</v>
      </c>
      <c r="S15" s="174"/>
    </row>
    <row r="16" spans="1:19" ht="36" customHeight="1" x14ac:dyDescent="0.3">
      <c r="A16" s="45" t="s">
        <v>146</v>
      </c>
      <c r="B16" s="36">
        <f>'weekly income statement'!C57</f>
        <v>0</v>
      </c>
      <c r="C16" s="36">
        <f>'weekly income statement'!D57</f>
        <v>0</v>
      </c>
      <c r="D16" s="36">
        <f>'weekly income statement'!E57</f>
        <v>0</v>
      </c>
      <c r="E16" s="36">
        <f>'weekly income statement'!F57</f>
        <v>0</v>
      </c>
      <c r="F16" s="36">
        <f>'weekly income statement'!G57</f>
        <v>0</v>
      </c>
      <c r="G16" s="36">
        <f>'weekly income statement'!H57</f>
        <v>0</v>
      </c>
      <c r="H16" s="36">
        <f>'weekly income statement'!I57</f>
        <v>0</v>
      </c>
      <c r="I16" s="36">
        <f>'weekly income statement'!J57</f>
        <v>0</v>
      </c>
      <c r="J16" s="36">
        <f>'weekly income statement'!K57</f>
        <v>0</v>
      </c>
      <c r="K16" s="36">
        <f>'weekly income statement'!L57</f>
        <v>0</v>
      </c>
      <c r="L16" s="36">
        <f>'weekly income statement'!M57</f>
        <v>671</v>
      </c>
      <c r="M16" s="36">
        <f>'weekly income statement'!N57</f>
        <v>0</v>
      </c>
      <c r="N16" s="72">
        <f t="shared" si="0"/>
        <v>671</v>
      </c>
      <c r="S16" s="18">
        <f>SUM(S10:S14)</f>
        <v>3750</v>
      </c>
    </row>
    <row r="17" spans="1:14" ht="36" customHeight="1" x14ac:dyDescent="0.3">
      <c r="A17" s="45" t="s">
        <v>147</v>
      </c>
      <c r="B17" s="36">
        <f>'weekly income statement'!C58</f>
        <v>0</v>
      </c>
      <c r="C17" s="36">
        <f>'weekly income statement'!D58</f>
        <v>0</v>
      </c>
      <c r="D17" s="36">
        <f>'weekly income statement'!E58</f>
        <v>661</v>
      </c>
      <c r="E17" s="36">
        <f>'weekly income statement'!F58</f>
        <v>0</v>
      </c>
      <c r="F17" s="36">
        <f>'weekly income statement'!G58</f>
        <v>350</v>
      </c>
      <c r="G17" s="36">
        <f>'weekly income statement'!H58</f>
        <v>0</v>
      </c>
      <c r="H17" s="36">
        <f>'weekly income statement'!I58</f>
        <v>0</v>
      </c>
      <c r="I17" s="36">
        <f>'weekly income statement'!J58</f>
        <v>0</v>
      </c>
      <c r="J17" s="36">
        <f>'weekly income statement'!K58</f>
        <v>0</v>
      </c>
      <c r="K17" s="36">
        <f>'weekly income statement'!L58</f>
        <v>0</v>
      </c>
      <c r="L17" s="36">
        <f>'weekly income statement'!M58</f>
        <v>0</v>
      </c>
      <c r="M17" s="36">
        <f>'weekly income statement'!N58</f>
        <v>0</v>
      </c>
      <c r="N17" s="72">
        <f t="shared" si="0"/>
        <v>1011</v>
      </c>
    </row>
    <row r="18" spans="1:14" ht="36" customHeight="1" x14ac:dyDescent="0.3">
      <c r="A18" s="45" t="s">
        <v>148</v>
      </c>
      <c r="B18" s="36">
        <f>'weekly income statement'!C59</f>
        <v>0</v>
      </c>
      <c r="C18" s="36">
        <f>'weekly income statement'!D59</f>
        <v>0</v>
      </c>
      <c r="D18" s="36">
        <f>'weekly income statement'!E59</f>
        <v>0</v>
      </c>
      <c r="E18" s="36">
        <f>'weekly income statement'!F59</f>
        <v>0</v>
      </c>
      <c r="F18" s="36">
        <f>'weekly income statement'!G59</f>
        <v>0</v>
      </c>
      <c r="G18" s="36">
        <f>'weekly income statement'!H59</f>
        <v>0</v>
      </c>
      <c r="H18" s="36">
        <f>'weekly income statement'!I59</f>
        <v>0</v>
      </c>
      <c r="I18" s="36">
        <f>'weekly income statement'!J59</f>
        <v>0</v>
      </c>
      <c r="J18" s="36">
        <f>'weekly income statement'!K59</f>
        <v>0</v>
      </c>
      <c r="K18" s="36">
        <f>'weekly income statement'!L59</f>
        <v>0</v>
      </c>
      <c r="L18" s="36">
        <f>'weekly income statement'!M59</f>
        <v>0</v>
      </c>
      <c r="M18" s="36">
        <f>'weekly income statement'!N59</f>
        <v>0</v>
      </c>
      <c r="N18" s="72">
        <f t="shared" si="0"/>
        <v>0</v>
      </c>
    </row>
    <row r="19" spans="1:14" ht="36" customHeight="1" x14ac:dyDescent="0.3">
      <c r="A19" s="45" t="s">
        <v>151</v>
      </c>
      <c r="B19" s="36">
        <f>'weekly income statement'!C60</f>
        <v>0</v>
      </c>
      <c r="C19" s="36">
        <f>'weekly income statement'!D60</f>
        <v>0</v>
      </c>
      <c r="D19" s="36">
        <f>'weekly income statement'!E60</f>
        <v>0</v>
      </c>
      <c r="E19" s="36">
        <f>'weekly income statement'!F60</f>
        <v>1190</v>
      </c>
      <c r="F19" s="36">
        <f>'weekly income statement'!G60</f>
        <v>0</v>
      </c>
      <c r="G19" s="36">
        <f>'weekly income statement'!H60</f>
        <v>0</v>
      </c>
      <c r="H19" s="36">
        <f>'weekly income statement'!I60</f>
        <v>0</v>
      </c>
      <c r="I19" s="36">
        <f>'weekly income statement'!J60</f>
        <v>0</v>
      </c>
      <c r="J19" s="36">
        <f>'weekly income statement'!K60</f>
        <v>0</v>
      </c>
      <c r="K19" s="36">
        <f>'weekly income statement'!L60</f>
        <v>0</v>
      </c>
      <c r="L19" s="36">
        <f>'weekly income statement'!M60</f>
        <v>0</v>
      </c>
      <c r="M19" s="36">
        <f>'weekly income statement'!N60</f>
        <v>0</v>
      </c>
      <c r="N19" s="72">
        <f t="shared" si="0"/>
        <v>1190</v>
      </c>
    </row>
    <row r="20" spans="1:14" ht="36" customHeight="1" x14ac:dyDescent="0.3">
      <c r="A20" s="45" t="s">
        <v>439</v>
      </c>
      <c r="B20" s="36">
        <f>'weekly income statement'!C61</f>
        <v>0</v>
      </c>
      <c r="C20" s="36">
        <f>'weekly income statement'!D61</f>
        <v>0</v>
      </c>
      <c r="D20" s="36">
        <f>'weekly income statement'!E61</f>
        <v>0</v>
      </c>
      <c r="E20" s="36">
        <f>'weekly income statement'!F61</f>
        <v>0</v>
      </c>
      <c r="F20" s="36">
        <f>'weekly income statement'!G61</f>
        <v>0</v>
      </c>
      <c r="G20" s="36">
        <f>'weekly income statement'!H61</f>
        <v>0</v>
      </c>
      <c r="H20" s="36">
        <f>'weekly income statement'!I61</f>
        <v>2610</v>
      </c>
      <c r="I20" s="36">
        <f>'weekly income statement'!J61</f>
        <v>0</v>
      </c>
      <c r="J20" s="36">
        <f>'weekly income statement'!K61</f>
        <v>0</v>
      </c>
      <c r="K20" s="36">
        <f>'weekly income statement'!L61</f>
        <v>0</v>
      </c>
      <c r="L20" s="36">
        <f>'weekly income statement'!M61</f>
        <v>0</v>
      </c>
      <c r="M20" s="36">
        <f>'weekly income statement'!N61</f>
        <v>0</v>
      </c>
      <c r="N20" s="72">
        <f t="shared" si="0"/>
        <v>2610</v>
      </c>
    </row>
    <row r="21" spans="1:14" ht="36" customHeight="1" x14ac:dyDescent="0.3">
      <c r="A21" s="45" t="s">
        <v>211</v>
      </c>
      <c r="B21" s="36">
        <f>'weekly income statement'!C62</f>
        <v>0</v>
      </c>
      <c r="C21" s="36">
        <f>'weekly income statement'!D62</f>
        <v>0</v>
      </c>
      <c r="D21" s="36">
        <f>'weekly income statement'!E62</f>
        <v>0</v>
      </c>
      <c r="E21" s="36">
        <f>'weekly income statement'!F62</f>
        <v>0</v>
      </c>
      <c r="F21" s="36">
        <f>'weekly income statement'!G62</f>
        <v>0</v>
      </c>
      <c r="G21" s="36">
        <f>'weekly income statement'!H62</f>
        <v>0</v>
      </c>
      <c r="H21" s="36">
        <f>'weekly income statement'!I62</f>
        <v>0</v>
      </c>
      <c r="I21" s="36">
        <f>'weekly income statement'!J62</f>
        <v>0</v>
      </c>
      <c r="J21" s="36">
        <f>'weekly income statement'!K62</f>
        <v>0</v>
      </c>
      <c r="K21" s="36">
        <f>'weekly income statement'!L62</f>
        <v>0</v>
      </c>
      <c r="L21" s="36">
        <f>'weekly income statement'!M62</f>
        <v>0</v>
      </c>
      <c r="M21" s="36">
        <f>'weekly income statement'!N62</f>
        <v>0</v>
      </c>
      <c r="N21" s="72">
        <f t="shared" si="0"/>
        <v>0</v>
      </c>
    </row>
    <row r="22" spans="1:14" ht="36" customHeight="1" x14ac:dyDescent="0.3">
      <c r="A22" s="45" t="s">
        <v>183</v>
      </c>
      <c r="B22" s="36">
        <f>'weekly income statement'!C63</f>
        <v>0</v>
      </c>
      <c r="C22" s="36">
        <f>'weekly income statement'!D63</f>
        <v>0</v>
      </c>
      <c r="D22" s="36">
        <f>'weekly income statement'!E63</f>
        <v>0</v>
      </c>
      <c r="E22" s="36">
        <f>'weekly income statement'!F63</f>
        <v>0</v>
      </c>
      <c r="F22" s="36">
        <f>'weekly income statement'!G63</f>
        <v>0</v>
      </c>
      <c r="G22" s="36">
        <f>'weekly income statement'!H63</f>
        <v>0</v>
      </c>
      <c r="H22" s="36">
        <f>'weekly income statement'!I63</f>
        <v>0</v>
      </c>
      <c r="I22" s="36">
        <f>'weekly income statement'!J63</f>
        <v>0</v>
      </c>
      <c r="J22" s="36">
        <f>'weekly income statement'!K63</f>
        <v>0</v>
      </c>
      <c r="K22" s="36">
        <f>'weekly income statement'!L63</f>
        <v>0</v>
      </c>
      <c r="L22" s="36">
        <f>'weekly income statement'!M63</f>
        <v>0</v>
      </c>
      <c r="M22" s="36">
        <f>'weekly income statement'!N63</f>
        <v>0</v>
      </c>
      <c r="N22" s="72">
        <f t="shared" ref="N22" si="1">B22+C22+D22+E22+F22+G22+H22+I22+J22+K22+L22+M22</f>
        <v>0</v>
      </c>
    </row>
    <row r="23" spans="1:14" ht="36" customHeight="1" x14ac:dyDescent="0.3">
      <c r="A23" s="45" t="s">
        <v>209</v>
      </c>
      <c r="B23" s="36">
        <f>'weekly income statement'!C64</f>
        <v>0</v>
      </c>
      <c r="C23" s="36">
        <f>'weekly income statement'!D64</f>
        <v>0</v>
      </c>
      <c r="D23" s="36">
        <f>'weekly income statement'!E64</f>
        <v>0</v>
      </c>
      <c r="E23" s="36">
        <f>'weekly income statement'!F64</f>
        <v>0</v>
      </c>
      <c r="F23" s="36">
        <f>'weekly income statement'!G64</f>
        <v>0</v>
      </c>
      <c r="G23" s="36">
        <f>'weekly income statement'!H64</f>
        <v>0</v>
      </c>
      <c r="H23" s="36">
        <f>'weekly income statement'!I64</f>
        <v>0</v>
      </c>
      <c r="I23" s="36">
        <f>'weekly income statement'!J64</f>
        <v>0</v>
      </c>
      <c r="J23" s="36">
        <f>'weekly income statement'!K64</f>
        <v>0</v>
      </c>
      <c r="K23" s="36">
        <f>'weekly income statement'!L64</f>
        <v>0</v>
      </c>
      <c r="L23" s="36">
        <f>'weekly income statement'!M64</f>
        <v>0</v>
      </c>
      <c r="M23" s="36">
        <f>'weekly income statement'!N64</f>
        <v>0</v>
      </c>
      <c r="N23" s="72">
        <f t="shared" ref="N23" si="2">B23+C23+D23+E23+F23+G23+H23+I23+J23+K23+L23+M23</f>
        <v>0</v>
      </c>
    </row>
    <row r="24" spans="1:14" ht="36" customHeight="1" x14ac:dyDescent="0.3">
      <c r="A24" s="45" t="s">
        <v>210</v>
      </c>
      <c r="B24" s="36">
        <f>'weekly income statement'!C65</f>
        <v>535</v>
      </c>
      <c r="C24" s="36">
        <f>'weekly income statement'!D65</f>
        <v>0</v>
      </c>
      <c r="D24" s="36">
        <f>'weekly income statement'!E65</f>
        <v>0</v>
      </c>
      <c r="E24" s="36">
        <f>'weekly income statement'!F65</f>
        <v>0</v>
      </c>
      <c r="F24" s="36">
        <f>'weekly income statement'!G65</f>
        <v>0</v>
      </c>
      <c r="G24" s="36">
        <f>'weekly income statement'!H65</f>
        <v>0</v>
      </c>
      <c r="H24" s="36">
        <f>'weekly income statement'!I65</f>
        <v>0</v>
      </c>
      <c r="I24" s="36">
        <f>'weekly income statement'!J65</f>
        <v>0</v>
      </c>
      <c r="J24" s="36">
        <f>'weekly income statement'!K65</f>
        <v>0</v>
      </c>
      <c r="K24" s="36">
        <f>'weekly income statement'!L65</f>
        <v>0</v>
      </c>
      <c r="L24" s="36">
        <f>'weekly income statement'!M65</f>
        <v>0</v>
      </c>
      <c r="M24" s="36">
        <f>'weekly income statement'!N65</f>
        <v>0</v>
      </c>
      <c r="N24" s="72">
        <f t="shared" si="0"/>
        <v>535</v>
      </c>
    </row>
    <row r="25" spans="1:14" ht="36" customHeight="1" x14ac:dyDescent="0.3">
      <c r="A25" s="25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72"/>
    </row>
    <row r="26" spans="1:14" ht="36" customHeight="1" x14ac:dyDescent="0.3">
      <c r="A26" s="25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72"/>
    </row>
    <row r="27" spans="1:14" ht="36" customHeight="1" x14ac:dyDescent="0.3">
      <c r="A27" s="41"/>
      <c r="B27" s="36">
        <f t="shared" ref="B27:M27" si="3">SUM(B8:B24)</f>
        <v>6134.8</v>
      </c>
      <c r="C27" s="36">
        <f>SUM(C8:C24)</f>
        <v>24320.199999999997</v>
      </c>
      <c r="D27" s="36">
        <f t="shared" si="3"/>
        <v>63348.9</v>
      </c>
      <c r="E27" s="36">
        <f t="shared" si="3"/>
        <v>26461.599999999999</v>
      </c>
      <c r="F27" s="36">
        <f t="shared" si="3"/>
        <v>17574.3</v>
      </c>
      <c r="G27" s="36">
        <f t="shared" si="3"/>
        <v>54094.5</v>
      </c>
      <c r="H27" s="36">
        <f t="shared" si="3"/>
        <v>14344.8</v>
      </c>
      <c r="I27" s="36">
        <f t="shared" si="3"/>
        <v>7404.5</v>
      </c>
      <c r="J27" s="36">
        <f t="shared" si="3"/>
        <v>44106.6</v>
      </c>
      <c r="K27" s="36">
        <f t="shared" si="3"/>
        <v>13859.300000000001</v>
      </c>
      <c r="L27" s="36">
        <f t="shared" si="3"/>
        <v>50169.4</v>
      </c>
      <c r="M27" s="36">
        <f t="shared" si="3"/>
        <v>75147.7</v>
      </c>
      <c r="N27" s="72">
        <f>SUM(N8:N24)</f>
        <v>396966.6</v>
      </c>
    </row>
    <row r="28" spans="1:14" ht="36" customHeight="1" x14ac:dyDescent="0.3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73"/>
    </row>
    <row r="29" spans="1:14" ht="36" customHeight="1" x14ac:dyDescent="0.3">
      <c r="A29" s="76" t="s">
        <v>114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73"/>
    </row>
    <row r="30" spans="1:14" ht="36" customHeight="1" x14ac:dyDescent="0.3">
      <c r="A30" s="50" t="s">
        <v>152</v>
      </c>
      <c r="B30" s="36">
        <f>Expend!C15</f>
        <v>500</v>
      </c>
      <c r="C30" s="36">
        <f>Expend!D15</f>
        <v>450</v>
      </c>
      <c r="D30" s="36">
        <f>Expend!E15</f>
        <v>2300</v>
      </c>
      <c r="E30" s="36">
        <f>Expend!F15</f>
        <v>400</v>
      </c>
      <c r="F30" s="36">
        <f>Expend!G15</f>
        <v>950</v>
      </c>
      <c r="G30" s="36">
        <f>Expend!H15</f>
        <v>4100</v>
      </c>
      <c r="H30" s="36">
        <f>Expend!I15</f>
        <v>1800</v>
      </c>
      <c r="I30" s="36">
        <f>Expend!J15</f>
        <v>1000</v>
      </c>
      <c r="J30" s="36">
        <f>Expend!K15</f>
        <v>1100</v>
      </c>
      <c r="K30" s="36">
        <f>Expend!L15</f>
        <v>800</v>
      </c>
      <c r="L30" s="36">
        <f>Expend!M15</f>
        <v>500</v>
      </c>
      <c r="M30" s="36">
        <f>Expend!N15</f>
        <v>1100</v>
      </c>
      <c r="N30" s="72">
        <f t="shared" ref="N30:N57" si="4">B30+C30+D30+E30+F30+G30+H30+I30+J30+K30+L30+M30</f>
        <v>15000</v>
      </c>
    </row>
    <row r="31" spans="1:14" ht="36" customHeight="1" x14ac:dyDescent="0.3">
      <c r="A31" s="50" t="s">
        <v>9</v>
      </c>
      <c r="B31" s="36">
        <f>Expend!C22</f>
        <v>200</v>
      </c>
      <c r="C31" s="36">
        <f>Expend!D22</f>
        <v>0</v>
      </c>
      <c r="D31" s="36">
        <f>Expend!E22</f>
        <v>0</v>
      </c>
      <c r="E31" s="36">
        <f>Expend!F22</f>
        <v>900</v>
      </c>
      <c r="F31" s="36">
        <f>Expend!G22</f>
        <v>1200</v>
      </c>
      <c r="G31" s="36">
        <f>Expend!H22</f>
        <v>0</v>
      </c>
      <c r="H31" s="36">
        <f>Expend!I22</f>
        <v>400</v>
      </c>
      <c r="I31" s="36">
        <f>Expend!J22</f>
        <v>0</v>
      </c>
      <c r="J31" s="36">
        <f>Expend!K22</f>
        <v>0</v>
      </c>
      <c r="K31" s="36">
        <f>Expend!L22</f>
        <v>0</v>
      </c>
      <c r="L31" s="36">
        <f>Expend!M22</f>
        <v>0</v>
      </c>
      <c r="M31" s="36">
        <f>Expend!N22</f>
        <v>0</v>
      </c>
      <c r="N31" s="72">
        <f t="shared" si="4"/>
        <v>2700</v>
      </c>
    </row>
    <row r="32" spans="1:14" ht="36" customHeight="1" x14ac:dyDescent="0.3">
      <c r="A32" s="50" t="s">
        <v>6</v>
      </c>
      <c r="B32" s="36">
        <f>Expend!C29</f>
        <v>200</v>
      </c>
      <c r="C32" s="36">
        <f>Expend!D29</f>
        <v>0</v>
      </c>
      <c r="D32" s="36">
        <f>Expend!E29</f>
        <v>700</v>
      </c>
      <c r="E32" s="36">
        <f>Expend!F29</f>
        <v>0</v>
      </c>
      <c r="F32" s="36">
        <f>Expend!G29</f>
        <v>300</v>
      </c>
      <c r="G32" s="36">
        <f>Expend!H29</f>
        <v>200</v>
      </c>
      <c r="H32" s="36">
        <f>Expend!I29</f>
        <v>0</v>
      </c>
      <c r="I32" s="36">
        <f>Expend!J29</f>
        <v>300</v>
      </c>
      <c r="J32" s="36">
        <f>Expend!K29</f>
        <v>400</v>
      </c>
      <c r="K32" s="36">
        <f>Expend!L29</f>
        <v>200</v>
      </c>
      <c r="L32" s="36">
        <f>Expend!M29</f>
        <v>1700</v>
      </c>
      <c r="M32" s="36">
        <f>Expend!N29</f>
        <v>200</v>
      </c>
      <c r="N32" s="72">
        <f t="shared" si="4"/>
        <v>4200</v>
      </c>
    </row>
    <row r="33" spans="1:14" ht="36" customHeight="1" x14ac:dyDescent="0.3">
      <c r="A33" s="50" t="s">
        <v>166</v>
      </c>
      <c r="B33" s="36">
        <f>Expend!C34</f>
        <v>0</v>
      </c>
      <c r="C33" s="36">
        <f>Expend!D34</f>
        <v>0</v>
      </c>
      <c r="D33" s="36">
        <f>Expend!E34</f>
        <v>0</v>
      </c>
      <c r="E33" s="36">
        <f>Expend!F34</f>
        <v>0</v>
      </c>
      <c r="F33" s="36">
        <f>Expend!G34</f>
        <v>0</v>
      </c>
      <c r="G33" s="36">
        <f>Expend!H34</f>
        <v>3440</v>
      </c>
      <c r="H33" s="36">
        <f>Expend!I34</f>
        <v>0</v>
      </c>
      <c r="I33" s="36">
        <f>Expend!J34</f>
        <v>0</v>
      </c>
      <c r="J33" s="36">
        <f>Expend!K34</f>
        <v>0</v>
      </c>
      <c r="K33" s="36">
        <f>Expend!L34</f>
        <v>0</v>
      </c>
      <c r="L33" s="36">
        <f>Expend!M34</f>
        <v>19667.5</v>
      </c>
      <c r="M33" s="36">
        <f>Expend!N34</f>
        <v>5300</v>
      </c>
      <c r="N33" s="72">
        <f t="shared" si="4"/>
        <v>28407.5</v>
      </c>
    </row>
    <row r="34" spans="1:14" ht="36" customHeight="1" x14ac:dyDescent="0.3">
      <c r="A34" s="50" t="s">
        <v>167</v>
      </c>
      <c r="B34" s="36">
        <f>Expend!C35</f>
        <v>0</v>
      </c>
      <c r="C34" s="36">
        <f>Expend!D35</f>
        <v>0</v>
      </c>
      <c r="D34" s="36">
        <f>Expend!E35</f>
        <v>3000</v>
      </c>
      <c r="E34" s="36">
        <f>Expend!F35</f>
        <v>550</v>
      </c>
      <c r="F34" s="36">
        <f>Expend!G35</f>
        <v>4650</v>
      </c>
      <c r="G34" s="36">
        <f>Expend!H35</f>
        <v>0</v>
      </c>
      <c r="H34" s="36">
        <f>Expend!I35</f>
        <v>0</v>
      </c>
      <c r="I34" s="36">
        <f>Expend!J35</f>
        <v>0</v>
      </c>
      <c r="J34" s="36">
        <f>Expend!K35</f>
        <v>0</v>
      </c>
      <c r="K34" s="36">
        <f>Expend!L35</f>
        <v>0</v>
      </c>
      <c r="L34" s="36">
        <f>Expend!M35</f>
        <v>3198</v>
      </c>
      <c r="M34" s="36">
        <f>Expend!N35</f>
        <v>400</v>
      </c>
      <c r="N34" s="72">
        <f t="shared" si="4"/>
        <v>11798</v>
      </c>
    </row>
    <row r="35" spans="1:14" ht="36" customHeight="1" x14ac:dyDescent="0.3">
      <c r="A35" s="50" t="s">
        <v>168</v>
      </c>
      <c r="B35" s="36">
        <f>Expend!C36</f>
        <v>0</v>
      </c>
      <c r="C35" s="36">
        <f>Expend!D36</f>
        <v>0</v>
      </c>
      <c r="D35" s="36">
        <f>Expend!E36</f>
        <v>0</v>
      </c>
      <c r="E35" s="36">
        <f>Expend!F36</f>
        <v>0</v>
      </c>
      <c r="F35" s="36">
        <f>Expend!G36</f>
        <v>0</v>
      </c>
      <c r="G35" s="36">
        <f>Expend!H36</f>
        <v>0</v>
      </c>
      <c r="H35" s="36">
        <f>Expend!I36</f>
        <v>0</v>
      </c>
      <c r="I35" s="36">
        <f>Expend!J36</f>
        <v>0</v>
      </c>
      <c r="J35" s="36">
        <f>Expend!K36</f>
        <v>0</v>
      </c>
      <c r="K35" s="36">
        <f>Expend!L36</f>
        <v>0</v>
      </c>
      <c r="L35" s="36">
        <f>Expend!M36</f>
        <v>671</v>
      </c>
      <c r="M35" s="36">
        <f>Expend!N36</f>
        <v>0</v>
      </c>
      <c r="N35" s="130">
        <f t="shared" si="4"/>
        <v>671</v>
      </c>
    </row>
    <row r="36" spans="1:14" ht="36" customHeight="1" x14ac:dyDescent="0.3">
      <c r="A36" s="50" t="s">
        <v>169</v>
      </c>
      <c r="B36" s="36">
        <f>Expend!C37</f>
        <v>0</v>
      </c>
      <c r="C36" s="36">
        <f>Expend!D37</f>
        <v>0</v>
      </c>
      <c r="D36" s="36">
        <f>Expend!E37</f>
        <v>0</v>
      </c>
      <c r="E36" s="36">
        <f>Expend!F37</f>
        <v>0</v>
      </c>
      <c r="F36" s="36">
        <f>Expend!G37</f>
        <v>0</v>
      </c>
      <c r="G36" s="36">
        <f>Expend!H37</f>
        <v>0</v>
      </c>
      <c r="H36" s="36">
        <f>Expend!I37</f>
        <v>0</v>
      </c>
      <c r="I36" s="36">
        <f>Expend!J37</f>
        <v>0</v>
      </c>
      <c r="J36" s="36">
        <f>Expend!K37</f>
        <v>0</v>
      </c>
      <c r="K36" s="36">
        <f>Expend!L37</f>
        <v>0</v>
      </c>
      <c r="L36" s="36">
        <f>Expend!M37</f>
        <v>0</v>
      </c>
      <c r="M36" s="36">
        <f>Expend!N37</f>
        <v>0</v>
      </c>
      <c r="N36" s="130">
        <f t="shared" si="4"/>
        <v>0</v>
      </c>
    </row>
    <row r="37" spans="1:14" ht="36" customHeight="1" x14ac:dyDescent="0.3">
      <c r="A37" s="50" t="s">
        <v>147</v>
      </c>
      <c r="B37" s="36">
        <f>Expend!C38</f>
        <v>0</v>
      </c>
      <c r="C37" s="36">
        <f>Expend!D38</f>
        <v>188</v>
      </c>
      <c r="D37" s="36">
        <f>Expend!E38</f>
        <v>661</v>
      </c>
      <c r="E37" s="36">
        <f>Expend!F38</f>
        <v>0</v>
      </c>
      <c r="F37" s="36">
        <f>Expend!G38</f>
        <v>350</v>
      </c>
      <c r="G37" s="36">
        <f>Expend!H38</f>
        <v>0</v>
      </c>
      <c r="H37" s="36">
        <f>Expend!I38</f>
        <v>0</v>
      </c>
      <c r="I37" s="36">
        <f>Expend!J38</f>
        <v>0</v>
      </c>
      <c r="J37" s="36">
        <f>Expend!K38</f>
        <v>0</v>
      </c>
      <c r="K37" s="36">
        <f>Expend!L38</f>
        <v>0</v>
      </c>
      <c r="L37" s="36">
        <f>Expend!M38</f>
        <v>0</v>
      </c>
      <c r="M37" s="36">
        <f>Expend!N38</f>
        <v>0</v>
      </c>
      <c r="N37" s="130">
        <f t="shared" si="4"/>
        <v>1199</v>
      </c>
    </row>
    <row r="38" spans="1:14" ht="36" customHeight="1" x14ac:dyDescent="0.3">
      <c r="A38" s="50" t="s">
        <v>8</v>
      </c>
      <c r="B38" s="36">
        <f>Expend!C39</f>
        <v>0</v>
      </c>
      <c r="C38" s="36">
        <f>Expend!D39</f>
        <v>0</v>
      </c>
      <c r="D38" s="36">
        <f>Expend!E39</f>
        <v>0</v>
      </c>
      <c r="E38" s="36">
        <f>Expend!F39</f>
        <v>0</v>
      </c>
      <c r="F38" s="36">
        <f>Expend!G39</f>
        <v>0</v>
      </c>
      <c r="G38" s="36">
        <f>Expend!H39</f>
        <v>0</v>
      </c>
      <c r="H38" s="36">
        <f>Expend!I39</f>
        <v>0</v>
      </c>
      <c r="I38" s="36">
        <f>Expend!J39</f>
        <v>0</v>
      </c>
      <c r="J38" s="36">
        <f>Expend!K39</f>
        <v>1000</v>
      </c>
      <c r="K38" s="36">
        <f>Expend!L39</f>
        <v>0</v>
      </c>
      <c r="L38" s="36">
        <f>Expend!M39</f>
        <v>0</v>
      </c>
      <c r="M38" s="36">
        <f>Expend!N39</f>
        <v>2050</v>
      </c>
      <c r="N38" s="130">
        <f t="shared" si="4"/>
        <v>3050</v>
      </c>
    </row>
    <row r="39" spans="1:14" ht="36" customHeight="1" x14ac:dyDescent="0.3">
      <c r="A39" s="50" t="s">
        <v>160</v>
      </c>
      <c r="B39" s="36">
        <f>Expend!C40</f>
        <v>0</v>
      </c>
      <c r="C39" s="36">
        <f>Expend!D40</f>
        <v>0</v>
      </c>
      <c r="D39" s="36">
        <f>Expend!E40</f>
        <v>0</v>
      </c>
      <c r="E39" s="36">
        <f>Expend!F40</f>
        <v>0</v>
      </c>
      <c r="F39" s="36">
        <f>Expend!G40</f>
        <v>0</v>
      </c>
      <c r="G39" s="36">
        <f>Expend!H40</f>
        <v>0</v>
      </c>
      <c r="H39" s="36">
        <f>Expend!I40</f>
        <v>0</v>
      </c>
      <c r="I39" s="36">
        <f>Expend!J40</f>
        <v>0</v>
      </c>
      <c r="J39" s="36">
        <f>Expend!K40</f>
        <v>0</v>
      </c>
      <c r="K39" s="36">
        <f>Expend!L40</f>
        <v>0</v>
      </c>
      <c r="L39" s="36">
        <f>Expend!M40</f>
        <v>0</v>
      </c>
      <c r="M39" s="36">
        <f>Expend!N40</f>
        <v>0</v>
      </c>
      <c r="N39" s="130">
        <f t="shared" si="4"/>
        <v>0</v>
      </c>
    </row>
    <row r="40" spans="1:14" ht="36" customHeight="1" x14ac:dyDescent="0.3">
      <c r="A40" s="50" t="s">
        <v>173</v>
      </c>
      <c r="B40" s="36">
        <f>Expend!C41</f>
        <v>160</v>
      </c>
      <c r="C40" s="36">
        <f>Expend!D41</f>
        <v>280</v>
      </c>
      <c r="D40" s="36">
        <f>Expend!E41</f>
        <v>1100</v>
      </c>
      <c r="E40" s="36">
        <f>Expend!F41</f>
        <v>70</v>
      </c>
      <c r="F40" s="36">
        <f>Expend!G41</f>
        <v>0</v>
      </c>
      <c r="G40" s="36">
        <f>Expend!H41</f>
        <v>0</v>
      </c>
      <c r="H40" s="36">
        <f>Expend!I41</f>
        <v>500</v>
      </c>
      <c r="I40" s="36">
        <f>Expend!J41</f>
        <v>0</v>
      </c>
      <c r="J40" s="36">
        <f>Expend!K41</f>
        <v>0</v>
      </c>
      <c r="K40" s="36">
        <f>Expend!L41</f>
        <v>0</v>
      </c>
      <c r="L40" s="36">
        <f>Expend!M41</f>
        <v>0</v>
      </c>
      <c r="M40" s="36">
        <f>Expend!N41</f>
        <v>0</v>
      </c>
      <c r="N40" s="130">
        <f t="shared" si="4"/>
        <v>2110</v>
      </c>
    </row>
    <row r="41" spans="1:14" ht="36" customHeight="1" x14ac:dyDescent="0.3">
      <c r="A41" s="50" t="s">
        <v>274</v>
      </c>
      <c r="B41" s="36">
        <f>Expend!C42</f>
        <v>0</v>
      </c>
      <c r="C41" s="36">
        <f>Expend!D42</f>
        <v>0</v>
      </c>
      <c r="D41" s="36">
        <f>Expend!E42</f>
        <v>0</v>
      </c>
      <c r="E41" s="36">
        <f>Expend!F42</f>
        <v>0</v>
      </c>
      <c r="F41" s="36">
        <f>Expend!G42</f>
        <v>0</v>
      </c>
      <c r="G41" s="36">
        <f>Expend!H42</f>
        <v>0</v>
      </c>
      <c r="H41" s="36">
        <f>Expend!I42</f>
        <v>0</v>
      </c>
      <c r="I41" s="36">
        <f>Expend!J42</f>
        <v>0</v>
      </c>
      <c r="J41" s="36">
        <f>Expend!K42</f>
        <v>0</v>
      </c>
      <c r="K41" s="36">
        <f>Expend!L42</f>
        <v>0</v>
      </c>
      <c r="L41" s="36">
        <f>Expend!M42</f>
        <v>0</v>
      </c>
      <c r="M41" s="36">
        <f>Expend!N42</f>
        <v>0</v>
      </c>
      <c r="N41" s="130">
        <f t="shared" si="4"/>
        <v>0</v>
      </c>
    </row>
    <row r="42" spans="1:14" ht="36" customHeight="1" x14ac:dyDescent="0.3">
      <c r="A42" s="36" t="str">
        <f>+Expend!B47</f>
        <v>WATER &amp; ECG</v>
      </c>
      <c r="B42" s="36">
        <f>+Expend!C47</f>
        <v>0</v>
      </c>
      <c r="C42" s="36">
        <f>+Expend!D47</f>
        <v>0</v>
      </c>
      <c r="D42" s="36">
        <f>+Expend!E47</f>
        <v>0</v>
      </c>
      <c r="E42" s="36">
        <f>+Expend!F47</f>
        <v>0</v>
      </c>
      <c r="F42" s="36">
        <f>+Expend!G47</f>
        <v>0</v>
      </c>
      <c r="G42" s="36">
        <f>+Expend!H47</f>
        <v>0</v>
      </c>
      <c r="H42" s="36">
        <f>+Expend!I47</f>
        <v>300</v>
      </c>
      <c r="I42" s="36">
        <f>+Expend!J47</f>
        <v>0</v>
      </c>
      <c r="J42" s="36">
        <f>+Expend!K47</f>
        <v>0</v>
      </c>
      <c r="K42" s="36">
        <f>+Expend!L47</f>
        <v>0</v>
      </c>
      <c r="L42" s="36">
        <f>+Expend!M47</f>
        <v>0</v>
      </c>
      <c r="M42" s="36">
        <f>+Expend!N47</f>
        <v>300</v>
      </c>
      <c r="N42" s="130">
        <f>B42+C42+D42+E42+F42+G42+H42+I42+J42+K42+L42+M42</f>
        <v>600</v>
      </c>
    </row>
    <row r="43" spans="1:14" ht="36" customHeight="1" x14ac:dyDescent="0.3">
      <c r="A43" s="50" t="s">
        <v>170</v>
      </c>
      <c r="B43" s="36">
        <f>Expend!C80</f>
        <v>0</v>
      </c>
      <c r="C43" s="36">
        <f>Expend!D80</f>
        <v>0</v>
      </c>
      <c r="D43" s="36">
        <f>Expend!E80</f>
        <v>200</v>
      </c>
      <c r="E43" s="36">
        <f>Expend!F80</f>
        <v>0</v>
      </c>
      <c r="F43" s="36">
        <f>Expend!G80</f>
        <v>0</v>
      </c>
      <c r="G43" s="36">
        <f>Expend!H80</f>
        <v>0</v>
      </c>
      <c r="H43" s="36">
        <f>Expend!I80</f>
        <v>0</v>
      </c>
      <c r="I43" s="36">
        <f>Expend!J80</f>
        <v>0</v>
      </c>
      <c r="J43" s="36">
        <f>Expend!K80</f>
        <v>0</v>
      </c>
      <c r="K43" s="36">
        <f>Expend!L80</f>
        <v>46000</v>
      </c>
      <c r="L43" s="36">
        <f>Expend!M80</f>
        <v>0</v>
      </c>
      <c r="M43" s="36">
        <f>Expend!N80</f>
        <v>20000</v>
      </c>
      <c r="N43" s="130">
        <f t="shared" si="4"/>
        <v>66200</v>
      </c>
    </row>
    <row r="44" spans="1:14" ht="36" customHeight="1" x14ac:dyDescent="0.3">
      <c r="A44" s="50" t="s">
        <v>171</v>
      </c>
      <c r="B44" s="36">
        <f>Expend!C81</f>
        <v>0</v>
      </c>
      <c r="C44" s="36">
        <f>Expend!D81</f>
        <v>300</v>
      </c>
      <c r="D44" s="36">
        <f>Expend!E81</f>
        <v>0</v>
      </c>
      <c r="E44" s="36">
        <f>Expend!F81</f>
        <v>0</v>
      </c>
      <c r="F44" s="36">
        <f>Expend!G81</f>
        <v>300</v>
      </c>
      <c r="G44" s="36">
        <f>Expend!H81</f>
        <v>0</v>
      </c>
      <c r="H44" s="36">
        <f>Expend!I81</f>
        <v>0</v>
      </c>
      <c r="I44" s="36">
        <f>Expend!J81</f>
        <v>0</v>
      </c>
      <c r="J44" s="36">
        <f>Expend!K81</f>
        <v>0</v>
      </c>
      <c r="K44" s="36">
        <f>Expend!L81</f>
        <v>0</v>
      </c>
      <c r="L44" s="36">
        <f>Expend!M81</f>
        <v>0</v>
      </c>
      <c r="M44" s="36">
        <f>Expend!N81</f>
        <v>0</v>
      </c>
      <c r="N44" s="130">
        <f t="shared" si="4"/>
        <v>600</v>
      </c>
    </row>
    <row r="45" spans="1:14" ht="36" customHeight="1" x14ac:dyDescent="0.3">
      <c r="A45" s="45" t="s">
        <v>172</v>
      </c>
      <c r="B45" s="36">
        <f>Expend!C82</f>
        <v>0</v>
      </c>
      <c r="C45" s="36">
        <f>Expend!D82</f>
        <v>250</v>
      </c>
      <c r="D45" s="36">
        <f>Expend!E82</f>
        <v>230</v>
      </c>
      <c r="E45" s="36">
        <f>Expend!F82</f>
        <v>0</v>
      </c>
      <c r="F45" s="36">
        <f>Expend!G82</f>
        <v>0</v>
      </c>
      <c r="G45" s="36">
        <f>Expend!H82</f>
        <v>0</v>
      </c>
      <c r="H45" s="36">
        <f>Expend!I82</f>
        <v>0</v>
      </c>
      <c r="I45" s="36">
        <f>Expend!J82</f>
        <v>0</v>
      </c>
      <c r="J45" s="36">
        <f>Expend!K82</f>
        <v>0</v>
      </c>
      <c r="K45" s="36">
        <f>Expend!L82</f>
        <v>0</v>
      </c>
      <c r="L45" s="36">
        <f>Expend!M82</f>
        <v>0</v>
      </c>
      <c r="M45" s="36">
        <f>Expend!N82</f>
        <v>0</v>
      </c>
      <c r="N45" s="130">
        <f t="shared" si="4"/>
        <v>480</v>
      </c>
    </row>
    <row r="46" spans="1:14" ht="36" customHeight="1" x14ac:dyDescent="0.3">
      <c r="A46" s="45" t="s">
        <v>164</v>
      </c>
      <c r="B46" s="36">
        <f>Expend!C83</f>
        <v>0</v>
      </c>
      <c r="C46" s="36">
        <f>Expend!D83</f>
        <v>0</v>
      </c>
      <c r="D46" s="36">
        <f>Expend!E83</f>
        <v>0</v>
      </c>
      <c r="E46" s="36">
        <f>Expend!F83</f>
        <v>0</v>
      </c>
      <c r="F46" s="36">
        <f>Expend!G83</f>
        <v>0</v>
      </c>
      <c r="G46" s="36">
        <f>Expend!H83</f>
        <v>0</v>
      </c>
      <c r="H46" s="36">
        <f>Expend!I83</f>
        <v>0</v>
      </c>
      <c r="I46" s="36">
        <f>Expend!J83</f>
        <v>0</v>
      </c>
      <c r="J46" s="36">
        <f>Expend!K83</f>
        <v>0</v>
      </c>
      <c r="K46" s="36">
        <f>Expend!L83</f>
        <v>0</v>
      </c>
      <c r="L46" s="36">
        <f>Expend!M83</f>
        <v>0</v>
      </c>
      <c r="M46" s="36">
        <f>Expend!N83</f>
        <v>5300</v>
      </c>
      <c r="N46" s="130">
        <f t="shared" si="4"/>
        <v>5300</v>
      </c>
    </row>
    <row r="47" spans="1:14" ht="36" customHeight="1" x14ac:dyDescent="0.3">
      <c r="A47" s="45" t="s">
        <v>265</v>
      </c>
      <c r="B47" s="36">
        <f>Expend!C84</f>
        <v>60000</v>
      </c>
      <c r="C47" s="36">
        <f>Expend!D84</f>
        <v>46000</v>
      </c>
      <c r="D47" s="36">
        <f>Expend!E84</f>
        <v>25000</v>
      </c>
      <c r="E47" s="36">
        <f>Expend!F84</f>
        <v>26600</v>
      </c>
      <c r="F47" s="36">
        <f>Expend!G84</f>
        <v>0</v>
      </c>
      <c r="G47" s="36">
        <f>Expend!H84</f>
        <v>43040</v>
      </c>
      <c r="H47" s="36">
        <f>Expend!I84</f>
        <v>20000</v>
      </c>
      <c r="I47" s="36">
        <f>Expend!J84</f>
        <v>0</v>
      </c>
      <c r="J47" s="36">
        <f>Expend!K84</f>
        <v>0</v>
      </c>
      <c r="K47" s="36">
        <f>Expend!L84</f>
        <v>0</v>
      </c>
      <c r="L47" s="36">
        <f>Expend!M84</f>
        <v>0</v>
      </c>
      <c r="M47" s="36">
        <f>Expend!N84</f>
        <v>38460</v>
      </c>
      <c r="N47" s="130">
        <f t="shared" si="4"/>
        <v>259100</v>
      </c>
    </row>
    <row r="48" spans="1:14" ht="36" customHeight="1" x14ac:dyDescent="0.3">
      <c r="A48" s="45" t="s">
        <v>165</v>
      </c>
      <c r="B48" s="36">
        <f>Expend!C85</f>
        <v>0</v>
      </c>
      <c r="C48" s="36">
        <f>Expend!D85</f>
        <v>0</v>
      </c>
      <c r="D48" s="36">
        <f>Expend!E85</f>
        <v>0</v>
      </c>
      <c r="E48" s="36">
        <f>Expend!F85</f>
        <v>0</v>
      </c>
      <c r="F48" s="36">
        <f>Expend!G85</f>
        <v>0</v>
      </c>
      <c r="G48" s="36">
        <f>Expend!H85</f>
        <v>0</v>
      </c>
      <c r="H48" s="36">
        <f>Expend!I85</f>
        <v>0</v>
      </c>
      <c r="I48" s="36">
        <f>Expend!J85</f>
        <v>0</v>
      </c>
      <c r="J48" s="36">
        <f>Expend!K85</f>
        <v>0</v>
      </c>
      <c r="K48" s="36">
        <f>Expend!L85</f>
        <v>0</v>
      </c>
      <c r="L48" s="36">
        <f>Expend!M85</f>
        <v>0</v>
      </c>
      <c r="M48" s="36">
        <f>Expend!N85</f>
        <v>0</v>
      </c>
      <c r="N48" s="130">
        <f t="shared" si="4"/>
        <v>0</v>
      </c>
    </row>
    <row r="49" spans="1:14" ht="36" customHeight="1" x14ac:dyDescent="0.3">
      <c r="A49" s="45" t="s">
        <v>183</v>
      </c>
      <c r="B49" s="36">
        <f>Expend!C86</f>
        <v>0</v>
      </c>
      <c r="C49" s="36">
        <f>Expend!D86</f>
        <v>0</v>
      </c>
      <c r="D49" s="36">
        <f>Expend!E86</f>
        <v>0</v>
      </c>
      <c r="E49" s="36">
        <f>Expend!F86</f>
        <v>0</v>
      </c>
      <c r="F49" s="36">
        <f>Expend!G86</f>
        <v>0</v>
      </c>
      <c r="G49" s="36">
        <f>Expend!H86</f>
        <v>0</v>
      </c>
      <c r="H49" s="36">
        <f>Expend!I86</f>
        <v>0</v>
      </c>
      <c r="I49" s="36">
        <f>Expend!J86</f>
        <v>0</v>
      </c>
      <c r="J49" s="36">
        <f>Expend!K86</f>
        <v>0</v>
      </c>
      <c r="K49" s="36">
        <f>Expend!L86</f>
        <v>0</v>
      </c>
      <c r="L49" s="36">
        <f>Expend!M86</f>
        <v>0</v>
      </c>
      <c r="M49" s="36">
        <f>Expend!N86</f>
        <v>0</v>
      </c>
      <c r="N49" s="130">
        <f t="shared" si="4"/>
        <v>0</v>
      </c>
    </row>
    <row r="50" spans="1:14" ht="36" customHeight="1" x14ac:dyDescent="0.3">
      <c r="A50" s="45" t="s">
        <v>185</v>
      </c>
      <c r="B50" s="36">
        <f>Expend!C87</f>
        <v>0</v>
      </c>
      <c r="C50" s="36">
        <f>Expend!D87</f>
        <v>0</v>
      </c>
      <c r="D50" s="36">
        <f>Expend!E87</f>
        <v>0</v>
      </c>
      <c r="E50" s="36">
        <f>Expend!O87</f>
        <v>1400</v>
      </c>
      <c r="F50" s="36">
        <f>Expend!G87</f>
        <v>0</v>
      </c>
      <c r="G50" s="36">
        <f>Expend!H87</f>
        <v>300</v>
      </c>
      <c r="H50" s="36">
        <f>Expend!I87</f>
        <v>0</v>
      </c>
      <c r="I50" s="36">
        <f>Expend!J87</f>
        <v>100</v>
      </c>
      <c r="J50" s="36">
        <f>Expend!K87</f>
        <v>0</v>
      </c>
      <c r="K50" s="36">
        <f>Expend!L87</f>
        <v>100</v>
      </c>
      <c r="L50" s="36">
        <f>Expend!M87</f>
        <v>0</v>
      </c>
      <c r="M50" s="36">
        <f>Expend!N87</f>
        <v>0</v>
      </c>
      <c r="N50" s="130">
        <f t="shared" si="4"/>
        <v>1900</v>
      </c>
    </row>
    <row r="51" spans="1:14" ht="36" customHeight="1" x14ac:dyDescent="0.3">
      <c r="A51" s="45" t="s">
        <v>209</v>
      </c>
      <c r="B51" s="36">
        <f>Expend!C88</f>
        <v>0</v>
      </c>
      <c r="C51" s="36">
        <f>Expend!D88</f>
        <v>0</v>
      </c>
      <c r="D51" s="36">
        <f>Expend!E88</f>
        <v>0</v>
      </c>
      <c r="E51" s="36">
        <f>Expend!F88</f>
        <v>0</v>
      </c>
      <c r="F51" s="36">
        <f>Expend!G88</f>
        <v>0</v>
      </c>
      <c r="G51" s="36">
        <f>Expend!H88</f>
        <v>0</v>
      </c>
      <c r="H51" s="36">
        <f>Expend!I88</f>
        <v>0</v>
      </c>
      <c r="I51" s="36">
        <f>Expend!J88</f>
        <v>0</v>
      </c>
      <c r="J51" s="36">
        <f>Expend!K88</f>
        <v>0</v>
      </c>
      <c r="K51" s="36">
        <f>Expend!L88</f>
        <v>0</v>
      </c>
      <c r="L51" s="36">
        <f>Expend!M88</f>
        <v>0</v>
      </c>
      <c r="M51" s="36">
        <f>Expend!N88</f>
        <v>0</v>
      </c>
      <c r="N51" s="130">
        <f t="shared" si="4"/>
        <v>0</v>
      </c>
    </row>
    <row r="52" spans="1:14" ht="36" customHeight="1" x14ac:dyDescent="0.3">
      <c r="A52" s="45" t="s">
        <v>210</v>
      </c>
      <c r="B52" s="36">
        <f>Expend!C89</f>
        <v>275</v>
      </c>
      <c r="C52" s="36">
        <f>Expend!D89</f>
        <v>0</v>
      </c>
      <c r="D52" s="36">
        <f>Expend!E89</f>
        <v>0</v>
      </c>
      <c r="E52" s="36">
        <f>Expend!F89</f>
        <v>0</v>
      </c>
      <c r="F52" s="36">
        <f>Expend!G89</f>
        <v>0</v>
      </c>
      <c r="G52" s="36">
        <f>Expend!H89</f>
        <v>0</v>
      </c>
      <c r="H52" s="36">
        <f>Expend!I89</f>
        <v>0</v>
      </c>
      <c r="I52" s="36">
        <f>Expend!J89</f>
        <v>0</v>
      </c>
      <c r="J52" s="36">
        <f>Expend!K89</f>
        <v>0</v>
      </c>
      <c r="K52" s="36">
        <f>Expend!L89</f>
        <v>0</v>
      </c>
      <c r="L52" s="36">
        <f>Expend!M89</f>
        <v>0</v>
      </c>
      <c r="M52" s="36">
        <f>Expend!N89</f>
        <v>0</v>
      </c>
      <c r="N52" s="130">
        <f t="shared" si="4"/>
        <v>275</v>
      </c>
    </row>
    <row r="53" spans="1:14" ht="36" customHeight="1" x14ac:dyDescent="0.3">
      <c r="A53" s="45" t="s">
        <v>186</v>
      </c>
      <c r="B53" s="36">
        <f>Expend!C93</f>
        <v>8212</v>
      </c>
      <c r="C53" s="36">
        <f>Expend!D93</f>
        <v>23982</v>
      </c>
      <c r="D53" s="36">
        <f>Expend!E93</f>
        <v>36600</v>
      </c>
      <c r="E53" s="36">
        <f>Expend!F93</f>
        <v>26065</v>
      </c>
      <c r="F53" s="36">
        <f>Expend!G93</f>
        <v>0</v>
      </c>
      <c r="G53" s="36">
        <f>Expend!H93</f>
        <v>47250</v>
      </c>
      <c r="H53" s="36">
        <f>Expend!I93</f>
        <v>21210</v>
      </c>
      <c r="I53" s="36">
        <f>Expend!J93</f>
        <v>1500</v>
      </c>
      <c r="J53" s="36">
        <f>Expend!K93</f>
        <v>39720</v>
      </c>
      <c r="K53" s="36">
        <f>Expend!L93</f>
        <v>18000</v>
      </c>
      <c r="L53" s="36">
        <f>Expend!M93</f>
        <v>14000</v>
      </c>
      <c r="M53" s="36">
        <f>Expend!N93</f>
        <v>53275</v>
      </c>
      <c r="N53" s="130">
        <f t="shared" ref="N53:N54" si="5">B53+C53+D53+E53+F53+G53+H53+I53+J53+K53+L53+M53</f>
        <v>289814</v>
      </c>
    </row>
    <row r="54" spans="1:14" ht="36" customHeight="1" x14ac:dyDescent="0.3">
      <c r="A54" s="45" t="s">
        <v>263</v>
      </c>
      <c r="B54" s="36">
        <f>Expend!C95</f>
        <v>0</v>
      </c>
      <c r="C54" s="36">
        <f>Expend!D95</f>
        <v>0</v>
      </c>
      <c r="D54" s="36">
        <f>Expend!E95</f>
        <v>0</v>
      </c>
      <c r="E54" s="36">
        <f>Expend!F95</f>
        <v>0</v>
      </c>
      <c r="F54" s="36">
        <f>Expend!G95</f>
        <v>0</v>
      </c>
      <c r="G54" s="36">
        <f>Expend!H95</f>
        <v>0</v>
      </c>
      <c r="H54" s="36">
        <f>Expend!I95</f>
        <v>0</v>
      </c>
      <c r="I54" s="36">
        <f>Expend!J95</f>
        <v>0</v>
      </c>
      <c r="J54" s="36">
        <f>Expend!K95</f>
        <v>0</v>
      </c>
      <c r="K54" s="36">
        <f>Expend!L95</f>
        <v>0</v>
      </c>
      <c r="L54" s="36">
        <f>Expend!M95</f>
        <v>0</v>
      </c>
      <c r="M54" s="36">
        <f>Expend!N95</f>
        <v>0</v>
      </c>
      <c r="N54" s="130">
        <f t="shared" si="5"/>
        <v>0</v>
      </c>
    </row>
    <row r="55" spans="1:14" ht="36" customHeight="1" x14ac:dyDescent="0.3">
      <c r="A55" s="45" t="s">
        <v>109</v>
      </c>
      <c r="B55" s="36">
        <f>Expend!C94</f>
        <v>231.2</v>
      </c>
      <c r="C55" s="36">
        <f>Expend!D94</f>
        <v>0</v>
      </c>
      <c r="D55" s="36">
        <f>Expend!E94</f>
        <v>0</v>
      </c>
      <c r="E55" s="36">
        <f>Expend!F94</f>
        <v>0</v>
      </c>
      <c r="F55" s="36">
        <f>Expend!G94</f>
        <v>0</v>
      </c>
      <c r="G55" s="36">
        <f>Expend!H94</f>
        <v>0</v>
      </c>
      <c r="H55" s="36">
        <f>Expend!I94</f>
        <v>0</v>
      </c>
      <c r="I55" s="36">
        <f>Expend!J94</f>
        <v>0</v>
      </c>
      <c r="J55" s="36">
        <f>Expend!K94</f>
        <v>0</v>
      </c>
      <c r="K55" s="36">
        <f>Expend!L94</f>
        <v>0</v>
      </c>
      <c r="L55" s="36">
        <f>Expend!M94</f>
        <v>0</v>
      </c>
      <c r="M55" s="36">
        <f>Expend!N94</f>
        <v>0</v>
      </c>
      <c r="N55" s="130">
        <f t="shared" si="4"/>
        <v>231.2</v>
      </c>
    </row>
    <row r="56" spans="1:14" ht="36" customHeight="1" x14ac:dyDescent="0.3">
      <c r="A56" s="240" t="s">
        <v>446</v>
      </c>
      <c r="B56" s="241">
        <f>Expend!C48</f>
        <v>0</v>
      </c>
      <c r="C56" s="241">
        <f>Expend!D48</f>
        <v>0</v>
      </c>
      <c r="D56" s="241">
        <f>Expend!E48</f>
        <v>0</v>
      </c>
      <c r="E56" s="241">
        <f>Expend!F48</f>
        <v>0</v>
      </c>
      <c r="F56" s="241">
        <f>Expend!G48</f>
        <v>0</v>
      </c>
      <c r="G56" s="241">
        <f>Expend!H48</f>
        <v>0</v>
      </c>
      <c r="H56" s="241">
        <f>Expend!I48</f>
        <v>0</v>
      </c>
      <c r="I56" s="241">
        <f>Expend!J48</f>
        <v>0</v>
      </c>
      <c r="J56" s="241">
        <f>Expend!K48</f>
        <v>0</v>
      </c>
      <c r="K56" s="241">
        <f>Expend!L48</f>
        <v>0</v>
      </c>
      <c r="L56" s="241">
        <f>Expend!M48</f>
        <v>7200</v>
      </c>
      <c r="M56" s="241">
        <f>Expend!N48</f>
        <v>0</v>
      </c>
      <c r="N56" s="130">
        <f t="shared" si="4"/>
        <v>7200</v>
      </c>
    </row>
    <row r="57" spans="1:14" ht="36" customHeight="1" x14ac:dyDescent="0.3">
      <c r="A57" s="240" t="s">
        <v>448</v>
      </c>
      <c r="B57" s="241">
        <f>Expend!C49</f>
        <v>0</v>
      </c>
      <c r="C57" s="241">
        <f>Expend!D49</f>
        <v>0</v>
      </c>
      <c r="D57" s="241">
        <f>Expend!E49</f>
        <v>0</v>
      </c>
      <c r="E57" s="241">
        <f>Expend!F49</f>
        <v>0</v>
      </c>
      <c r="F57" s="241">
        <f>Expend!G49</f>
        <v>0</v>
      </c>
      <c r="G57" s="241">
        <f>Expend!H49</f>
        <v>0</v>
      </c>
      <c r="H57" s="241">
        <f>Expend!I49</f>
        <v>0</v>
      </c>
      <c r="I57" s="241">
        <f>Expend!J49</f>
        <v>0</v>
      </c>
      <c r="J57" s="241">
        <f>Expend!K49</f>
        <v>0</v>
      </c>
      <c r="K57" s="241">
        <f>Expend!L49</f>
        <v>0</v>
      </c>
      <c r="L57" s="241">
        <f>Expend!M49</f>
        <v>1600</v>
      </c>
      <c r="M57" s="241">
        <f>Expend!N49</f>
        <v>3100</v>
      </c>
      <c r="N57" s="130">
        <f t="shared" si="4"/>
        <v>4700</v>
      </c>
    </row>
    <row r="58" spans="1:14" ht="36" customHeight="1" x14ac:dyDescent="0.3">
      <c r="A58" s="240" t="s">
        <v>479</v>
      </c>
      <c r="B58" s="241">
        <f>Expend!C50</f>
        <v>0</v>
      </c>
      <c r="C58" s="241">
        <f>Expend!D50</f>
        <v>0</v>
      </c>
      <c r="D58" s="241">
        <f>Expend!E50</f>
        <v>0</v>
      </c>
      <c r="E58" s="241">
        <f>Expend!F50</f>
        <v>0</v>
      </c>
      <c r="F58" s="241">
        <f>Expend!G50</f>
        <v>0</v>
      </c>
      <c r="G58" s="241">
        <f>Expend!H50</f>
        <v>0</v>
      </c>
      <c r="H58" s="241">
        <f>Expend!I50</f>
        <v>0</v>
      </c>
      <c r="I58" s="241">
        <f>Expend!J50</f>
        <v>0</v>
      </c>
      <c r="J58" s="241">
        <f>Expend!K50</f>
        <v>0</v>
      </c>
      <c r="K58" s="241">
        <f>Expend!L50</f>
        <v>0</v>
      </c>
      <c r="L58" s="241">
        <f>Expend!M50</f>
        <v>0</v>
      </c>
      <c r="M58" s="241">
        <f>Expend!N50</f>
        <v>3500</v>
      </c>
      <c r="N58" s="241">
        <f>Expend!O50</f>
        <v>3500</v>
      </c>
    </row>
    <row r="59" spans="1:14" ht="36" customHeight="1" x14ac:dyDescent="0.3">
      <c r="A59" s="240" t="s">
        <v>478</v>
      </c>
      <c r="B59" s="241">
        <f>Expend!C55</f>
        <v>0</v>
      </c>
      <c r="C59" s="241">
        <f>Expend!D55</f>
        <v>0</v>
      </c>
      <c r="D59" s="241">
        <f>Expend!E55</f>
        <v>0</v>
      </c>
      <c r="E59" s="241">
        <f>Expend!F55</f>
        <v>0</v>
      </c>
      <c r="F59" s="241">
        <f>Expend!G55</f>
        <v>0</v>
      </c>
      <c r="G59" s="241">
        <f>Expend!H55</f>
        <v>0</v>
      </c>
      <c r="H59" s="241">
        <f>Expend!I55</f>
        <v>0</v>
      </c>
      <c r="I59" s="241">
        <f>Expend!J55</f>
        <v>0</v>
      </c>
      <c r="J59" s="241">
        <f>Expend!K55</f>
        <v>0</v>
      </c>
      <c r="K59" s="241">
        <f>Expend!L55</f>
        <v>0</v>
      </c>
      <c r="L59" s="241">
        <f>Expend!M55</f>
        <v>0</v>
      </c>
      <c r="M59" s="241">
        <f>Expend!N55</f>
        <v>16495.78</v>
      </c>
      <c r="N59" s="241">
        <f>Expend!O55</f>
        <v>16495.78</v>
      </c>
    </row>
    <row r="60" spans="1:14" ht="36" customHeight="1" x14ac:dyDescent="0.3">
      <c r="A60" s="240" t="s">
        <v>480</v>
      </c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56"/>
    </row>
    <row r="61" spans="1:14" ht="36" customHeight="1" x14ac:dyDescent="0.3">
      <c r="A61" s="240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56"/>
    </row>
    <row r="62" spans="1:14" ht="36" customHeight="1" thickBot="1" x14ac:dyDescent="0.35">
      <c r="A62" s="43"/>
      <c r="B62" s="44">
        <f>SUM(B30:B55)</f>
        <v>69778.2</v>
      </c>
      <c r="C62" s="44">
        <f t="shared" ref="C62:M62" si="6">SUM(C30:C55)</f>
        <v>71450</v>
      </c>
      <c r="D62" s="44">
        <f t="shared" si="6"/>
        <v>69791</v>
      </c>
      <c r="E62" s="44">
        <f t="shared" si="6"/>
        <v>55985</v>
      </c>
      <c r="F62" s="44">
        <f t="shared" si="6"/>
        <v>7750</v>
      </c>
      <c r="G62" s="44">
        <f t="shared" si="6"/>
        <v>98330</v>
      </c>
      <c r="H62" s="44">
        <f t="shared" si="6"/>
        <v>44210</v>
      </c>
      <c r="I62" s="44">
        <f t="shared" si="6"/>
        <v>2900</v>
      </c>
      <c r="J62" s="44">
        <f t="shared" si="6"/>
        <v>42220</v>
      </c>
      <c r="K62" s="44">
        <f t="shared" si="6"/>
        <v>65100</v>
      </c>
      <c r="L62" s="44">
        <f t="shared" si="6"/>
        <v>39736.5</v>
      </c>
      <c r="M62" s="44">
        <f t="shared" si="6"/>
        <v>126385</v>
      </c>
      <c r="N62" s="74">
        <f>SUM(N30:N55)</f>
        <v>693635.7</v>
      </c>
    </row>
    <row r="63" spans="1:14" x14ac:dyDescent="0.3">
      <c r="B63" s="177" t="s">
        <v>113</v>
      </c>
    </row>
    <row r="64" spans="1:14" ht="31.5" customHeight="1" x14ac:dyDescent="0.3">
      <c r="A64" s="155" t="s">
        <v>186</v>
      </c>
      <c r="B64" s="175">
        <f>+'Rec &amp; Pmt'!B75</f>
        <v>14173.5</v>
      </c>
    </row>
    <row r="65" spans="1:2" ht="31.5" customHeight="1" x14ac:dyDescent="0.3">
      <c r="A65" s="155" t="s">
        <v>263</v>
      </c>
      <c r="B65" s="175">
        <f>+'Rec &amp; Pmt'!B76</f>
        <v>200</v>
      </c>
    </row>
    <row r="66" spans="1:2" ht="31.5" customHeight="1" x14ac:dyDescent="0.3">
      <c r="A66" s="155" t="s">
        <v>118</v>
      </c>
      <c r="B66" s="175">
        <f>+'Rec &amp; Pmt'!B77</f>
        <v>6339.7999999999884</v>
      </c>
    </row>
    <row r="67" spans="1:2" ht="28.5" customHeight="1" x14ac:dyDescent="0.3">
      <c r="A67" s="176" t="s">
        <v>31</v>
      </c>
      <c r="B67" s="175">
        <f>SUM(B64:B66)</f>
        <v>20713.299999999988</v>
      </c>
    </row>
  </sheetData>
  <mergeCells count="5">
    <mergeCell ref="A1:N1"/>
    <mergeCell ref="A2:N2"/>
    <mergeCell ref="A5:N5"/>
    <mergeCell ref="A3:N3"/>
    <mergeCell ref="A4:N4"/>
  </mergeCells>
  <pageMargins left="0.7" right="0.7" top="0.75" bottom="0.75" header="0.3" footer="0.3"/>
  <pageSetup paperSize="9" scale="55" orientation="landscape" r:id="rId1"/>
  <rowBreaks count="1" manualBreakCount="1">
    <brk id="27" max="13" man="1"/>
  </rowBreaks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8"/>
  <sheetViews>
    <sheetView workbookViewId="0">
      <pane xSplit="2" ySplit="8" topLeftCell="C11" activePane="bottomRight" state="frozen"/>
      <selection pane="topRight" activeCell="C1" sqref="C1"/>
      <selection pane="bottomLeft" activeCell="A7" sqref="A7"/>
      <selection pane="bottomRight" activeCell="I22" sqref="I22"/>
    </sheetView>
  </sheetViews>
  <sheetFormatPr defaultColWidth="8.88671875" defaultRowHeight="14.4" x14ac:dyDescent="0.3"/>
  <cols>
    <col min="1" max="1" width="8.88671875" style="5"/>
    <col min="2" max="2" width="33" customWidth="1"/>
    <col min="3" max="3" width="9.44140625" style="1" bestFit="1" customWidth="1"/>
    <col min="4" max="4" width="11.5546875" style="1" customWidth="1"/>
    <col min="5" max="5" width="11" style="1" customWidth="1"/>
    <col min="6" max="6" width="11.33203125" style="1" customWidth="1"/>
    <col min="7" max="7" width="11.6640625" style="1" customWidth="1"/>
    <col min="8" max="8" width="10.88671875" style="1" customWidth="1"/>
    <col min="9" max="9" width="12.109375" style="1" customWidth="1"/>
    <col min="10" max="10" width="10.44140625" style="1" customWidth="1"/>
    <col min="11" max="11" width="10.5546875" style="1" bestFit="1" customWidth="1"/>
    <col min="12" max="12" width="11.88671875" style="1" customWidth="1"/>
    <col min="13" max="13" width="10.5546875" style="1" bestFit="1" customWidth="1"/>
    <col min="14" max="14" width="11.5546875" style="1" customWidth="1"/>
    <col min="15" max="15" width="11.44140625" customWidth="1"/>
  </cols>
  <sheetData>
    <row r="1" spans="1:15" ht="15.75" customHeight="1" x14ac:dyDescent="0.3">
      <c r="A1" s="278" t="str">
        <f>+'RECEIPTS AND PAYMENT ANANLYSIS'!A1:N1</f>
        <v>THE METHODIST CHURCH GHANA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</row>
    <row r="2" spans="1:15" ht="15.75" customHeight="1" x14ac:dyDescent="0.3">
      <c r="A2" s="278" t="str">
        <f>+'RECEIPTS AND PAYMENT ANANLYSIS'!A2:N2</f>
        <v>ACCRA NORTH DIOCESE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</row>
    <row r="3" spans="1:15" ht="15.6" x14ac:dyDescent="0.3">
      <c r="A3" s="279" t="str">
        <f>+'RECEIPTS AND PAYMENT ANANLYSIS'!A3:N3</f>
        <v>GA SUB-URBAN CIRCUIT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</row>
    <row r="4" spans="1:15" ht="15.6" x14ac:dyDescent="0.3">
      <c r="A4" s="279" t="str">
        <f>+'RECEIPTS AND PAYMENT ANANLYSIS'!A4:N4</f>
        <v>HEBRON  SOCIETY</v>
      </c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</row>
    <row r="5" spans="1:15" ht="15.6" x14ac:dyDescent="0.3">
      <c r="A5" s="279" t="str">
        <f>+'RECEIPTS AND PAYMENT ANANLYSIS'!A5:N5</f>
        <v>STATEMENT OF ACCOUNT FOR THE PERIOD 1ST JANUARY,2024 TO 31ST DECEMBER,2024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</row>
    <row r="6" spans="1:15" x14ac:dyDescent="0.3">
      <c r="B6" s="16"/>
    </row>
    <row r="7" spans="1:15" ht="15.6" x14ac:dyDescent="0.3">
      <c r="A7" s="5" t="s">
        <v>33</v>
      </c>
      <c r="B7" s="4" t="s">
        <v>34</v>
      </c>
      <c r="C7" s="8" t="s">
        <v>22</v>
      </c>
      <c r="D7" s="8" t="s">
        <v>23</v>
      </c>
      <c r="E7" s="8" t="s">
        <v>24</v>
      </c>
      <c r="F7" s="8" t="s">
        <v>25</v>
      </c>
      <c r="G7" s="8" t="s">
        <v>26</v>
      </c>
      <c r="H7" s="8" t="s">
        <v>139</v>
      </c>
      <c r="I7" s="8" t="s">
        <v>140</v>
      </c>
      <c r="J7" s="8" t="s">
        <v>29</v>
      </c>
      <c r="K7" s="8" t="s">
        <v>30</v>
      </c>
      <c r="L7" s="8" t="s">
        <v>19</v>
      </c>
      <c r="M7" s="8" t="s">
        <v>20</v>
      </c>
      <c r="N7" s="8" t="s">
        <v>21</v>
      </c>
      <c r="O7" s="8" t="s">
        <v>31</v>
      </c>
    </row>
    <row r="8" spans="1:15" ht="15.6" x14ac:dyDescent="0.3">
      <c r="A8" s="5" t="s">
        <v>115</v>
      </c>
      <c r="B8" s="4"/>
      <c r="C8" s="8" t="s">
        <v>4</v>
      </c>
      <c r="D8" s="8" t="s">
        <v>4</v>
      </c>
      <c r="E8" s="8" t="s">
        <v>4</v>
      </c>
      <c r="F8" s="8" t="s">
        <v>4</v>
      </c>
      <c r="G8" s="8" t="s">
        <v>4</v>
      </c>
      <c r="H8" s="8" t="s">
        <v>4</v>
      </c>
      <c r="I8" s="8" t="s">
        <v>4</v>
      </c>
      <c r="J8" s="8" t="s">
        <v>4</v>
      </c>
      <c r="K8" s="8" t="s">
        <v>4</v>
      </c>
      <c r="L8" s="8" t="s">
        <v>4</v>
      </c>
      <c r="M8" s="8" t="s">
        <v>4</v>
      </c>
      <c r="N8" s="8" t="s">
        <v>4</v>
      </c>
      <c r="O8" s="8" t="s">
        <v>4</v>
      </c>
    </row>
    <row r="9" spans="1:15" x14ac:dyDescent="0.3">
      <c r="B9" s="10" t="s">
        <v>141</v>
      </c>
      <c r="C9" s="9"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20">
        <f>C9+D9+E9+F9+G9+H9+I9+J9+K9+L9+M9+N9</f>
        <v>0</v>
      </c>
    </row>
    <row r="10" spans="1:15" x14ac:dyDescent="0.3">
      <c r="A10" s="5" t="s">
        <v>175</v>
      </c>
      <c r="B10" s="10"/>
      <c r="C10" s="117">
        <v>215</v>
      </c>
      <c r="D10" s="117">
        <f>437+111.5</f>
        <v>548.5</v>
      </c>
      <c r="E10" s="117">
        <f>483.7+128.5</f>
        <v>612.20000000000005</v>
      </c>
      <c r="F10" s="117">
        <f>495+104</f>
        <v>599</v>
      </c>
      <c r="G10" s="117">
        <v>757.1</v>
      </c>
      <c r="H10" s="117">
        <f>736+114</f>
        <v>850</v>
      </c>
      <c r="I10" s="117">
        <v>846</v>
      </c>
      <c r="J10" s="117">
        <v>542.29999999999995</v>
      </c>
      <c r="K10" s="117">
        <f>132+573</f>
        <v>705</v>
      </c>
      <c r="L10" s="117">
        <f>780+137.6</f>
        <v>917.6</v>
      </c>
      <c r="M10" s="117">
        <f>785+55.4</f>
        <v>840.4</v>
      </c>
      <c r="N10" s="117">
        <v>830</v>
      </c>
      <c r="O10" s="20">
        <f t="shared" ref="O10:O11" si="0">C10+D10+E10+F10+G10+H10+I10+J10+K10+L10+M10+N10</f>
        <v>8263.1</v>
      </c>
    </row>
    <row r="11" spans="1:15" x14ac:dyDescent="0.3">
      <c r="A11" s="5" t="s">
        <v>176</v>
      </c>
      <c r="B11" s="10"/>
      <c r="C11" s="117">
        <f>609+112.7</f>
        <v>721.7</v>
      </c>
      <c r="D11" s="117">
        <f>687+86.1</f>
        <v>773.1</v>
      </c>
      <c r="E11" s="117">
        <f>511.5+109.5</f>
        <v>621</v>
      </c>
      <c r="F11" s="117">
        <v>865.5</v>
      </c>
      <c r="G11" s="117">
        <f>395.7+106.5</f>
        <v>502.2</v>
      </c>
      <c r="H11" s="117">
        <f>754+70.8</f>
        <v>824.8</v>
      </c>
      <c r="I11" s="117">
        <f>522.5+137.4</f>
        <v>659.9</v>
      </c>
      <c r="J11" s="117">
        <v>496.5</v>
      </c>
      <c r="K11" s="117">
        <f>748.5+100.5</f>
        <v>849</v>
      </c>
      <c r="L11" s="117">
        <f>754.5+54</f>
        <v>808.5</v>
      </c>
      <c r="M11" s="117">
        <f>619+151.9</f>
        <v>770.9</v>
      </c>
      <c r="N11" s="117">
        <f>666+151.5</f>
        <v>817.5</v>
      </c>
      <c r="O11" s="20">
        <f t="shared" si="0"/>
        <v>8710.5999999999985</v>
      </c>
    </row>
    <row r="12" spans="1:15" x14ac:dyDescent="0.3">
      <c r="A12" s="5" t="s">
        <v>177</v>
      </c>
      <c r="B12" s="10"/>
      <c r="C12" s="117">
        <f>662+214</f>
        <v>876</v>
      </c>
      <c r="D12" s="117">
        <v>238</v>
      </c>
      <c r="E12" s="117">
        <f>649+156.5</f>
        <v>805.5</v>
      </c>
      <c r="F12" s="117">
        <f>696.3+153.9</f>
        <v>850.19999999999993</v>
      </c>
      <c r="G12" s="117">
        <f>702.5+105</f>
        <v>807.5</v>
      </c>
      <c r="H12" s="117">
        <f>772+131.5</f>
        <v>903.5</v>
      </c>
      <c r="I12" s="117">
        <v>774</v>
      </c>
      <c r="J12" s="117">
        <f>643.4+89.2</f>
        <v>732.6</v>
      </c>
      <c r="K12" s="117">
        <v>815.7</v>
      </c>
      <c r="L12" s="117">
        <f>614.5+282.1+51</f>
        <v>947.6</v>
      </c>
      <c r="M12" s="117">
        <f>774.2+146.9</f>
        <v>921.1</v>
      </c>
      <c r="N12" s="117">
        <f>926+139.3</f>
        <v>1065.3</v>
      </c>
      <c r="O12" s="20">
        <f t="shared" ref="O12:O66" si="1">C12+D12+E12+F12+G12+H12+I12+J12+K12+L12+M12+N12</f>
        <v>9737</v>
      </c>
    </row>
    <row r="13" spans="1:15" x14ac:dyDescent="0.3">
      <c r="A13" s="5" t="s">
        <v>178</v>
      </c>
      <c r="B13" s="10"/>
      <c r="C13" s="117">
        <v>869.5</v>
      </c>
      <c r="D13" s="117">
        <v>538</v>
      </c>
      <c r="E13" s="117">
        <f>673+128.7</f>
        <v>801.7</v>
      </c>
      <c r="F13" s="117">
        <f>539+111.9</f>
        <v>650.9</v>
      </c>
      <c r="G13" s="117">
        <f>355+77.5</f>
        <v>432.5</v>
      </c>
      <c r="H13" s="117">
        <f>420+147.5</f>
        <v>567.5</v>
      </c>
      <c r="I13" s="117">
        <f>436.4+102</f>
        <v>538.4</v>
      </c>
      <c r="J13" s="117">
        <f>416+149.1</f>
        <v>565.1</v>
      </c>
      <c r="K13" s="117">
        <v>1032.2</v>
      </c>
      <c r="L13" s="117">
        <f>602+101</f>
        <v>703</v>
      </c>
      <c r="M13" s="117">
        <f>774+113</f>
        <v>887</v>
      </c>
      <c r="N13" s="117">
        <f>703+532+135.4</f>
        <v>1370.4</v>
      </c>
      <c r="O13" s="20">
        <f t="shared" si="1"/>
        <v>8956.2000000000007</v>
      </c>
    </row>
    <row r="14" spans="1:15" x14ac:dyDescent="0.3">
      <c r="A14" s="5" t="s">
        <v>179</v>
      </c>
      <c r="B14" s="10"/>
      <c r="C14" s="117"/>
      <c r="D14" s="117">
        <f>476.2+141.5</f>
        <v>617.70000000000005</v>
      </c>
      <c r="E14" s="117">
        <f>864.5+625.5+124</f>
        <v>1614</v>
      </c>
      <c r="F14" s="117"/>
      <c r="G14" s="117"/>
      <c r="H14" s="117">
        <f>681.7+142</f>
        <v>823.7</v>
      </c>
      <c r="I14" s="117"/>
      <c r="J14" s="117"/>
      <c r="K14" s="117">
        <f>666.5+108.2</f>
        <v>774.7</v>
      </c>
      <c r="L14" s="117"/>
      <c r="M14" s="117"/>
      <c r="N14" s="117">
        <f>953.5+40</f>
        <v>993.5</v>
      </c>
      <c r="O14" s="20">
        <f t="shared" si="1"/>
        <v>4823.5999999999995</v>
      </c>
    </row>
    <row r="15" spans="1:15" x14ac:dyDescent="0.3">
      <c r="C15" s="52">
        <f>SUM(C9:C14)</f>
        <v>2682.2</v>
      </c>
      <c r="D15" s="52">
        <f t="shared" ref="D15:N15" si="2">SUM(D9:D14)</f>
        <v>2715.3</v>
      </c>
      <c r="E15" s="52">
        <f t="shared" si="2"/>
        <v>4454.3999999999996</v>
      </c>
      <c r="F15" s="52">
        <f t="shared" si="2"/>
        <v>2965.6</v>
      </c>
      <c r="G15" s="52">
        <f t="shared" si="2"/>
        <v>2499.3000000000002</v>
      </c>
      <c r="H15" s="52">
        <f t="shared" si="2"/>
        <v>3969.5</v>
      </c>
      <c r="I15" s="52">
        <f t="shared" si="2"/>
        <v>2818.3</v>
      </c>
      <c r="J15" s="52">
        <f t="shared" si="2"/>
        <v>2336.5</v>
      </c>
      <c r="K15" s="52">
        <f t="shared" si="2"/>
        <v>4176.5999999999995</v>
      </c>
      <c r="L15" s="52">
        <f t="shared" si="2"/>
        <v>3376.7</v>
      </c>
      <c r="M15" s="52">
        <f t="shared" si="2"/>
        <v>3419.4</v>
      </c>
      <c r="N15" s="52">
        <f t="shared" si="2"/>
        <v>5076.7000000000007</v>
      </c>
      <c r="O15" s="20">
        <f>C15+D15+E15+F15+G15+H15+I15+J15+K15+L15+M15+N15</f>
        <v>40490.5</v>
      </c>
    </row>
    <row r="16" spans="1:15" x14ac:dyDescent="0.3">
      <c r="O16" s="3">
        <f t="shared" si="1"/>
        <v>0</v>
      </c>
    </row>
    <row r="17" spans="1:15" x14ac:dyDescent="0.3">
      <c r="B17" s="10" t="s">
        <v>144</v>
      </c>
      <c r="C17" s="9">
        <v>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20">
        <f>C17+D17+E17+F17+G17+H17+I17+J17+K17+L17+M17+N17</f>
        <v>0</v>
      </c>
    </row>
    <row r="18" spans="1:15" x14ac:dyDescent="0.3">
      <c r="A18" s="5" t="s">
        <v>175</v>
      </c>
      <c r="B18" s="10"/>
      <c r="C18" s="117">
        <v>450</v>
      </c>
      <c r="D18" s="117">
        <v>4775</v>
      </c>
      <c r="E18" s="117">
        <v>970</v>
      </c>
      <c r="F18" s="117">
        <v>1120</v>
      </c>
      <c r="G18" s="117">
        <v>2820</v>
      </c>
      <c r="H18" s="117">
        <v>4510</v>
      </c>
      <c r="I18" s="117">
        <v>3978</v>
      </c>
      <c r="J18" s="117">
        <v>900</v>
      </c>
      <c r="K18" s="117">
        <v>5570</v>
      </c>
      <c r="L18" s="117">
        <v>3340</v>
      </c>
      <c r="M18" s="117">
        <v>2590</v>
      </c>
      <c r="N18" s="117">
        <v>2490</v>
      </c>
      <c r="O18" s="20">
        <f>C18+D18+E18+F18+G18+H18+I18+J18+K18+L18+M18+N18</f>
        <v>33513</v>
      </c>
    </row>
    <row r="19" spans="1:15" x14ac:dyDescent="0.3">
      <c r="A19" s="5" t="s">
        <v>176</v>
      </c>
      <c r="B19" s="10"/>
      <c r="C19" s="117">
        <v>840</v>
      </c>
      <c r="D19" s="117">
        <v>265</v>
      </c>
      <c r="E19" s="117">
        <v>3555</v>
      </c>
      <c r="F19" s="117">
        <v>1550</v>
      </c>
      <c r="G19" s="117">
        <v>4265</v>
      </c>
      <c r="H19" s="117">
        <v>3448</v>
      </c>
      <c r="I19" s="117">
        <v>2850</v>
      </c>
      <c r="J19" s="117">
        <v>1010</v>
      </c>
      <c r="K19" s="117">
        <v>5380</v>
      </c>
      <c r="L19" s="117">
        <v>4680</v>
      </c>
      <c r="M19" s="117">
        <v>4610</v>
      </c>
      <c r="N19" s="117">
        <v>3240</v>
      </c>
      <c r="O19" s="20">
        <f t="shared" ref="O19:O22" si="3">C19+D19+E19+F19+G19+H19+I19+J19+K19+L19+M19+N19</f>
        <v>35693</v>
      </c>
    </row>
    <row r="20" spans="1:15" x14ac:dyDescent="0.3">
      <c r="A20" s="5" t="s">
        <v>177</v>
      </c>
      <c r="B20" s="10"/>
      <c r="C20" s="117">
        <v>795</v>
      </c>
      <c r="D20" s="117">
        <v>1050</v>
      </c>
      <c r="E20" s="117">
        <v>280</v>
      </c>
      <c r="F20" s="117">
        <v>1700</v>
      </c>
      <c r="G20" s="117">
        <v>100</v>
      </c>
      <c r="H20" s="117">
        <v>410</v>
      </c>
      <c r="I20" s="117">
        <v>270</v>
      </c>
      <c r="J20" s="117">
        <v>420</v>
      </c>
      <c r="K20" s="117">
        <v>900</v>
      </c>
      <c r="L20" s="117">
        <v>60</v>
      </c>
      <c r="M20" s="117">
        <v>890</v>
      </c>
      <c r="N20" s="117">
        <v>2840</v>
      </c>
      <c r="O20" s="20">
        <f t="shared" si="3"/>
        <v>9715</v>
      </c>
    </row>
    <row r="21" spans="1:15" x14ac:dyDescent="0.3">
      <c r="A21" s="5" t="s">
        <v>178</v>
      </c>
      <c r="B21" s="10"/>
      <c r="C21" s="117"/>
      <c r="D21" s="117">
        <f>2360+560</f>
        <v>2920</v>
      </c>
      <c r="E21" s="117">
        <v>650</v>
      </c>
      <c r="F21" s="117">
        <v>870</v>
      </c>
      <c r="G21" s="117">
        <v>220</v>
      </c>
      <c r="H21" s="117">
        <v>520</v>
      </c>
      <c r="I21" s="117">
        <v>120</v>
      </c>
      <c r="J21" s="117">
        <v>1490</v>
      </c>
      <c r="K21" s="117">
        <v>1550</v>
      </c>
      <c r="L21" s="117">
        <v>1020</v>
      </c>
      <c r="M21" s="117">
        <v>2010</v>
      </c>
      <c r="N21" s="117">
        <v>745</v>
      </c>
      <c r="O21" s="20">
        <f t="shared" si="3"/>
        <v>12115</v>
      </c>
    </row>
    <row r="22" spans="1:15" x14ac:dyDescent="0.3">
      <c r="A22" s="5" t="s">
        <v>179</v>
      </c>
      <c r="B22" s="10"/>
      <c r="C22" s="117"/>
      <c r="D22" s="117"/>
      <c r="E22" s="117">
        <f>4325+400</f>
        <v>4725</v>
      </c>
      <c r="F22" s="117"/>
      <c r="G22" s="117"/>
      <c r="H22" s="117">
        <v>450</v>
      </c>
      <c r="I22" s="117"/>
      <c r="J22" s="117"/>
      <c r="K22" s="117">
        <v>100</v>
      </c>
      <c r="L22" s="117"/>
      <c r="M22" s="117"/>
      <c r="N22" s="117">
        <v>400</v>
      </c>
      <c r="O22" s="20">
        <f t="shared" si="3"/>
        <v>5675</v>
      </c>
    </row>
    <row r="23" spans="1:15" x14ac:dyDescent="0.3">
      <c r="C23" s="52">
        <f>SUM(C17:C22)</f>
        <v>2085</v>
      </c>
      <c r="D23" s="52">
        <f t="shared" ref="D23:G23" si="4">SUM(D17:D22)</f>
        <v>9010</v>
      </c>
      <c r="E23" s="52">
        <f t="shared" si="4"/>
        <v>10180</v>
      </c>
      <c r="F23" s="52">
        <f t="shared" si="4"/>
        <v>5240</v>
      </c>
      <c r="G23" s="52">
        <f t="shared" si="4"/>
        <v>7405</v>
      </c>
      <c r="H23" s="52">
        <f t="shared" ref="H23:N23" si="5">SUM(H17:H22)</f>
        <v>9338</v>
      </c>
      <c r="I23" s="52">
        <f t="shared" si="5"/>
        <v>7218</v>
      </c>
      <c r="J23" s="52">
        <f t="shared" si="5"/>
        <v>3820</v>
      </c>
      <c r="K23" s="52">
        <f t="shared" si="5"/>
        <v>13500</v>
      </c>
      <c r="L23" s="52">
        <f t="shared" si="5"/>
        <v>9100</v>
      </c>
      <c r="M23" s="52">
        <f t="shared" si="5"/>
        <v>10100</v>
      </c>
      <c r="N23" s="52">
        <f t="shared" si="5"/>
        <v>9715</v>
      </c>
      <c r="O23" s="20">
        <f>C23+D23+E23+F23+G23+H23+I23+J23+K23+L23+M23+N23</f>
        <v>96711</v>
      </c>
    </row>
    <row r="24" spans="1:15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</row>
    <row r="25" spans="1:15" x14ac:dyDescent="0.3">
      <c r="B25" s="10" t="s">
        <v>142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20">
        <f t="shared" si="1"/>
        <v>0</v>
      </c>
    </row>
    <row r="26" spans="1:15" x14ac:dyDescent="0.3">
      <c r="A26" s="277" t="s">
        <v>175</v>
      </c>
      <c r="B26" s="10" t="s">
        <v>180</v>
      </c>
      <c r="C26" s="134">
        <v>75</v>
      </c>
      <c r="D26" s="134">
        <v>55</v>
      </c>
      <c r="E26" s="134"/>
      <c r="F26" s="134"/>
      <c r="G26" s="134"/>
      <c r="H26" s="134"/>
      <c r="I26" s="134"/>
      <c r="J26" s="134">
        <v>45</v>
      </c>
      <c r="K26" s="134">
        <v>80</v>
      </c>
      <c r="L26" s="134">
        <v>176</v>
      </c>
      <c r="M26" s="134">
        <v>42</v>
      </c>
      <c r="N26" s="134"/>
      <c r="O26" s="20">
        <f t="shared" si="1"/>
        <v>473</v>
      </c>
    </row>
    <row r="27" spans="1:15" x14ac:dyDescent="0.3">
      <c r="A27" s="277"/>
      <c r="B27" s="10" t="s">
        <v>181</v>
      </c>
      <c r="C27" s="134">
        <v>57</v>
      </c>
      <c r="D27" s="134">
        <v>75</v>
      </c>
      <c r="E27" s="134">
        <v>55</v>
      </c>
      <c r="F27" s="134"/>
      <c r="G27" s="134"/>
      <c r="H27" s="134"/>
      <c r="I27" s="134"/>
      <c r="J27" s="134">
        <v>53</v>
      </c>
      <c r="K27" s="134">
        <v>35</v>
      </c>
      <c r="L27" s="134">
        <v>161</v>
      </c>
      <c r="M27" s="134">
        <v>102</v>
      </c>
      <c r="N27" s="134">
        <v>55</v>
      </c>
      <c r="O27" s="20">
        <f t="shared" si="1"/>
        <v>593</v>
      </c>
    </row>
    <row r="28" spans="1:15" x14ac:dyDescent="0.3">
      <c r="A28" s="277" t="s">
        <v>176</v>
      </c>
      <c r="B28" s="10" t="s">
        <v>180</v>
      </c>
      <c r="C28" s="134">
        <v>55</v>
      </c>
      <c r="D28" s="134">
        <v>65</v>
      </c>
      <c r="E28" s="134">
        <v>41</v>
      </c>
      <c r="F28" s="134"/>
      <c r="G28" s="134"/>
      <c r="H28" s="134"/>
      <c r="I28" s="134"/>
      <c r="J28" s="134">
        <v>85</v>
      </c>
      <c r="K28" s="134">
        <v>80</v>
      </c>
      <c r="L28" s="134"/>
      <c r="M28" s="134">
        <v>116</v>
      </c>
      <c r="N28" s="134">
        <v>110</v>
      </c>
      <c r="O28" s="20">
        <f t="shared" si="1"/>
        <v>552</v>
      </c>
    </row>
    <row r="29" spans="1:15" x14ac:dyDescent="0.3">
      <c r="A29" s="277"/>
      <c r="B29" s="10" t="s">
        <v>181</v>
      </c>
      <c r="C29" s="134">
        <v>102</v>
      </c>
      <c r="D29" s="134">
        <v>30</v>
      </c>
      <c r="E29" s="134">
        <v>31</v>
      </c>
      <c r="F29" s="134"/>
      <c r="G29" s="134"/>
      <c r="H29" s="134"/>
      <c r="I29" s="134"/>
      <c r="J29" s="134">
        <v>30</v>
      </c>
      <c r="K29" s="134">
        <v>50</v>
      </c>
      <c r="L29" s="134"/>
      <c r="M29" s="134">
        <v>113</v>
      </c>
      <c r="N29" s="134">
        <v>57</v>
      </c>
      <c r="O29" s="20">
        <f t="shared" si="1"/>
        <v>413</v>
      </c>
    </row>
    <row r="30" spans="1:15" x14ac:dyDescent="0.3">
      <c r="A30" s="277" t="s">
        <v>177</v>
      </c>
      <c r="B30" s="10" t="s">
        <v>180</v>
      </c>
      <c r="C30" s="134">
        <v>137.4</v>
      </c>
      <c r="D30" s="134">
        <v>35</v>
      </c>
      <c r="E30" s="134">
        <v>91.5</v>
      </c>
      <c r="F30" s="134"/>
      <c r="G30" s="134"/>
      <c r="H30" s="134"/>
      <c r="I30" s="134"/>
      <c r="J30" s="134">
        <v>53</v>
      </c>
      <c r="K30" s="134">
        <v>30</v>
      </c>
      <c r="L30" s="134"/>
      <c r="M30" s="134"/>
      <c r="N30" s="134">
        <v>213</v>
      </c>
      <c r="O30" s="20">
        <f t="shared" si="1"/>
        <v>559.9</v>
      </c>
    </row>
    <row r="31" spans="1:15" x14ac:dyDescent="0.3">
      <c r="A31" s="277"/>
      <c r="B31" s="10" t="s">
        <v>181</v>
      </c>
      <c r="C31" s="134">
        <v>56.2</v>
      </c>
      <c r="D31" s="134"/>
      <c r="E31" s="134"/>
      <c r="F31" s="134"/>
      <c r="G31" s="134"/>
      <c r="H31" s="134"/>
      <c r="I31" s="134">
        <v>55</v>
      </c>
      <c r="J31" s="134">
        <v>40</v>
      </c>
      <c r="K31" s="134">
        <v>30</v>
      </c>
      <c r="L31" s="134"/>
      <c r="M31" s="134"/>
      <c r="N31" s="134"/>
      <c r="O31" s="20">
        <f t="shared" si="1"/>
        <v>181.2</v>
      </c>
    </row>
    <row r="32" spans="1:15" x14ac:dyDescent="0.3">
      <c r="A32" s="277" t="s">
        <v>178</v>
      </c>
      <c r="B32" s="10" t="s">
        <v>180</v>
      </c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20">
        <f t="shared" si="1"/>
        <v>0</v>
      </c>
    </row>
    <row r="33" spans="1:15" x14ac:dyDescent="0.3">
      <c r="A33" s="277"/>
      <c r="B33" s="10" t="s">
        <v>181</v>
      </c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20">
        <f t="shared" si="1"/>
        <v>0</v>
      </c>
    </row>
    <row r="34" spans="1:15" x14ac:dyDescent="0.3">
      <c r="A34" s="277" t="s">
        <v>179</v>
      </c>
      <c r="B34" s="10" t="s">
        <v>180</v>
      </c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20">
        <f t="shared" si="1"/>
        <v>0</v>
      </c>
    </row>
    <row r="35" spans="1:15" x14ac:dyDescent="0.3">
      <c r="A35" s="277"/>
      <c r="B35" s="10" t="s">
        <v>181</v>
      </c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20">
        <f t="shared" si="1"/>
        <v>0</v>
      </c>
    </row>
    <row r="36" spans="1:15" x14ac:dyDescent="0.3">
      <c r="C36" s="2">
        <f>SUM(C25:C35)</f>
        <v>482.59999999999997</v>
      </c>
      <c r="D36" s="2">
        <f t="shared" ref="D36:N36" si="6">SUM(D25:D35)</f>
        <v>260</v>
      </c>
      <c r="E36" s="2">
        <f t="shared" si="6"/>
        <v>218.5</v>
      </c>
      <c r="F36" s="2">
        <f t="shared" si="6"/>
        <v>0</v>
      </c>
      <c r="G36" s="2">
        <f t="shared" si="6"/>
        <v>0</v>
      </c>
      <c r="H36" s="2">
        <f t="shared" si="6"/>
        <v>0</v>
      </c>
      <c r="I36" s="2">
        <f t="shared" si="6"/>
        <v>55</v>
      </c>
      <c r="J36" s="2">
        <f t="shared" si="6"/>
        <v>306</v>
      </c>
      <c r="K36" s="2">
        <f t="shared" si="6"/>
        <v>305</v>
      </c>
      <c r="L36" s="2">
        <f t="shared" si="6"/>
        <v>337</v>
      </c>
      <c r="M36" s="2">
        <f t="shared" si="6"/>
        <v>373</v>
      </c>
      <c r="N36" s="2">
        <f t="shared" si="6"/>
        <v>435</v>
      </c>
      <c r="O36" s="3">
        <f>C36+D36+E36+F36+G36+H36+I36+J36+K36+L36+M36+N36</f>
        <v>2772.1</v>
      </c>
    </row>
    <row r="37" spans="1:15" x14ac:dyDescent="0.3">
      <c r="O37" s="3">
        <f t="shared" si="1"/>
        <v>0</v>
      </c>
    </row>
    <row r="38" spans="1:15" x14ac:dyDescent="0.3">
      <c r="B38" s="10" t="s">
        <v>143</v>
      </c>
      <c r="C38" s="117">
        <v>300</v>
      </c>
      <c r="D38" s="117">
        <v>200</v>
      </c>
      <c r="E38" s="117">
        <v>50</v>
      </c>
      <c r="F38" s="117">
        <v>50</v>
      </c>
      <c r="G38" s="117">
        <v>250</v>
      </c>
      <c r="H38" s="117"/>
      <c r="I38" s="117">
        <v>200</v>
      </c>
      <c r="J38" s="117">
        <v>200</v>
      </c>
      <c r="K38" s="117">
        <v>500</v>
      </c>
      <c r="L38" s="117">
        <v>200</v>
      </c>
      <c r="M38" s="117">
        <v>100</v>
      </c>
      <c r="N38" s="117">
        <v>50</v>
      </c>
      <c r="O38" s="20">
        <f t="shared" si="1"/>
        <v>2100</v>
      </c>
    </row>
    <row r="39" spans="1:15" x14ac:dyDescent="0.3">
      <c r="B39" s="10"/>
      <c r="C39" s="117">
        <v>50</v>
      </c>
      <c r="D39" s="117"/>
      <c r="E39" s="117"/>
      <c r="F39" s="117">
        <v>50</v>
      </c>
      <c r="G39" s="117"/>
      <c r="H39" s="117"/>
      <c r="I39" s="117">
        <v>110</v>
      </c>
      <c r="J39" s="117">
        <v>150</v>
      </c>
      <c r="K39" s="117">
        <v>80</v>
      </c>
      <c r="L39" s="117">
        <v>100</v>
      </c>
      <c r="M39" s="117">
        <v>250</v>
      </c>
      <c r="N39" s="117">
        <v>700</v>
      </c>
      <c r="O39" s="20">
        <f t="shared" si="1"/>
        <v>1490</v>
      </c>
    </row>
    <row r="40" spans="1:15" x14ac:dyDescent="0.3">
      <c r="B40" s="10"/>
      <c r="C40" s="117"/>
      <c r="D40" s="117"/>
      <c r="E40" s="117"/>
      <c r="F40" s="117"/>
      <c r="G40" s="117"/>
      <c r="H40" s="117"/>
      <c r="I40" s="117"/>
      <c r="J40" s="117"/>
      <c r="K40" s="117">
        <v>50</v>
      </c>
      <c r="L40" s="117">
        <v>200</v>
      </c>
      <c r="M40" s="117">
        <v>50</v>
      </c>
      <c r="N40" s="117">
        <v>100</v>
      </c>
      <c r="O40" s="20">
        <f t="shared" si="1"/>
        <v>400</v>
      </c>
    </row>
    <row r="41" spans="1:15" x14ac:dyDescent="0.3">
      <c r="B41" s="10"/>
      <c r="C41" s="117"/>
      <c r="D41" s="117"/>
      <c r="E41" s="117"/>
      <c r="F41" s="117"/>
      <c r="G41" s="117"/>
      <c r="H41" s="117"/>
      <c r="I41" s="117"/>
      <c r="J41" s="117"/>
      <c r="K41" s="117">
        <v>200</v>
      </c>
      <c r="L41" s="117"/>
      <c r="M41" s="117"/>
      <c r="N41" s="117">
        <v>200</v>
      </c>
      <c r="O41" s="20">
        <f t="shared" si="1"/>
        <v>400</v>
      </c>
    </row>
    <row r="42" spans="1:15" x14ac:dyDescent="0.3">
      <c r="B42" s="10"/>
      <c r="C42" s="117"/>
      <c r="D42" s="117"/>
      <c r="E42" s="117"/>
      <c r="F42" s="117"/>
      <c r="G42" s="117"/>
      <c r="H42" s="117"/>
      <c r="I42" s="117"/>
      <c r="J42" s="117"/>
      <c r="K42" s="117">
        <v>100</v>
      </c>
      <c r="L42" s="117"/>
      <c r="M42" s="117"/>
      <c r="N42" s="117"/>
      <c r="O42" s="20">
        <f t="shared" si="1"/>
        <v>100</v>
      </c>
    </row>
    <row r="43" spans="1:15" x14ac:dyDescent="0.3"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20">
        <f>SUM(O38:O42)</f>
        <v>4490</v>
      </c>
    </row>
    <row r="44" spans="1:15" x14ac:dyDescent="0.3">
      <c r="C44" s="2">
        <f>SUM(C38:C43)</f>
        <v>350</v>
      </c>
      <c r="D44" s="2">
        <f t="shared" ref="D44:N44" si="7">SUM(D38:D43)</f>
        <v>200</v>
      </c>
      <c r="E44" s="2">
        <f t="shared" si="7"/>
        <v>50</v>
      </c>
      <c r="F44" s="2">
        <f t="shared" si="7"/>
        <v>100</v>
      </c>
      <c r="G44" s="2">
        <f t="shared" si="7"/>
        <v>250</v>
      </c>
      <c r="H44" s="2">
        <f t="shared" si="7"/>
        <v>0</v>
      </c>
      <c r="I44" s="2">
        <f t="shared" si="7"/>
        <v>310</v>
      </c>
      <c r="J44" s="2">
        <f t="shared" si="7"/>
        <v>350</v>
      </c>
      <c r="K44" s="2">
        <f t="shared" si="7"/>
        <v>930</v>
      </c>
      <c r="L44" s="2">
        <f t="shared" si="7"/>
        <v>500</v>
      </c>
      <c r="M44" s="2">
        <f t="shared" si="7"/>
        <v>400</v>
      </c>
      <c r="N44" s="2">
        <f t="shared" si="7"/>
        <v>1050</v>
      </c>
      <c r="O44" s="3">
        <f>C44+D44+E44+F44+G44+H44+I44+J44+K44+L44+M44+N44</f>
        <v>4490</v>
      </c>
    </row>
    <row r="45" spans="1:15" x14ac:dyDescent="0.3">
      <c r="O45" s="3">
        <f t="shared" si="1"/>
        <v>0</v>
      </c>
    </row>
    <row r="46" spans="1:15" x14ac:dyDescent="0.3">
      <c r="B46" s="10" t="s">
        <v>107</v>
      </c>
      <c r="C46" s="9"/>
      <c r="D46" s="9">
        <v>50</v>
      </c>
      <c r="E46" s="9">
        <f>500+50</f>
        <v>550</v>
      </c>
      <c r="F46" s="9">
        <v>550</v>
      </c>
      <c r="G46" s="9">
        <f>3500+375</f>
        <v>3875</v>
      </c>
      <c r="H46" s="9">
        <v>30585</v>
      </c>
      <c r="I46" s="9">
        <v>500</v>
      </c>
      <c r="J46" s="9">
        <v>20</v>
      </c>
      <c r="K46" s="9">
        <f>19295+6255-1200</f>
        <v>24350</v>
      </c>
      <c r="L46" s="9"/>
      <c r="M46" s="9">
        <v>120</v>
      </c>
      <c r="N46" s="9">
        <f>32390+14505</f>
        <v>46895</v>
      </c>
      <c r="O46" s="20">
        <f>C46+D46+E46+F46+G46+H46+I46+J46+K46+L46+M46+N46</f>
        <v>107495</v>
      </c>
    </row>
    <row r="47" spans="1:15" x14ac:dyDescent="0.3">
      <c r="B47" s="10"/>
      <c r="C47" s="9"/>
      <c r="D47" s="9">
        <v>500</v>
      </c>
      <c r="E47" s="9">
        <f>90+29250</f>
        <v>29340</v>
      </c>
      <c r="F47" s="9">
        <f>9200+6200</f>
        <v>15400</v>
      </c>
      <c r="G47" s="9">
        <v>15</v>
      </c>
      <c r="H47" s="9">
        <v>8100</v>
      </c>
      <c r="I47" s="9">
        <v>130</v>
      </c>
      <c r="J47" s="9">
        <v>80</v>
      </c>
      <c r="K47" s="9">
        <f>165+80</f>
        <v>245</v>
      </c>
      <c r="L47" s="9"/>
      <c r="M47" s="9">
        <v>31509</v>
      </c>
      <c r="N47" s="117">
        <f>2205+1000</f>
        <v>3205</v>
      </c>
      <c r="O47" s="20">
        <f t="shared" ref="O47:O51" si="8">C47+D47+E47+F47+G47+H47+I47+J47+K47+L47+M47+N47</f>
        <v>88524</v>
      </c>
    </row>
    <row r="48" spans="1:15" x14ac:dyDescent="0.3">
      <c r="B48" s="10"/>
      <c r="C48" s="9"/>
      <c r="D48" s="9">
        <f>1224.9-280</f>
        <v>944.90000000000009</v>
      </c>
      <c r="E48" s="9">
        <v>490</v>
      </c>
      <c r="F48" s="9"/>
      <c r="G48" s="9"/>
      <c r="H48" s="9">
        <v>810</v>
      </c>
      <c r="I48" s="9"/>
      <c r="J48" s="9"/>
      <c r="K48" s="9">
        <v>50</v>
      </c>
      <c r="L48" s="9"/>
      <c r="M48" s="9">
        <v>205</v>
      </c>
      <c r="N48" s="9">
        <v>1300</v>
      </c>
      <c r="O48" s="20">
        <f t="shared" si="8"/>
        <v>3799.9</v>
      </c>
    </row>
    <row r="49" spans="1:16" x14ac:dyDescent="0.3">
      <c r="B49" s="10"/>
      <c r="C49" s="9"/>
      <c r="D49" s="9">
        <v>10640</v>
      </c>
      <c r="E49" s="9">
        <f>9000+1000</f>
        <v>10000</v>
      </c>
      <c r="F49" s="9"/>
      <c r="G49" s="9"/>
      <c r="H49" s="9">
        <v>305</v>
      </c>
      <c r="I49" s="9"/>
      <c r="J49" s="9"/>
      <c r="K49" s="9"/>
      <c r="L49" s="9"/>
      <c r="M49" s="9">
        <v>210</v>
      </c>
      <c r="N49" s="9">
        <f>2000+50</f>
        <v>2050</v>
      </c>
      <c r="O49" s="20">
        <f t="shared" si="8"/>
        <v>23205</v>
      </c>
    </row>
    <row r="50" spans="1:16" x14ac:dyDescent="0.3">
      <c r="B50" s="10"/>
      <c r="C50" s="9"/>
      <c r="D50" s="9"/>
      <c r="E50" s="9">
        <f>4000+3000+265+140</f>
        <v>7405</v>
      </c>
      <c r="F50" s="9"/>
      <c r="G50" s="9"/>
      <c r="H50" s="9">
        <v>0</v>
      </c>
      <c r="I50" s="9"/>
      <c r="J50" s="9"/>
      <c r="K50" s="9"/>
      <c r="L50" s="9"/>
      <c r="M50" s="9">
        <v>2400</v>
      </c>
      <c r="N50" s="9">
        <v>600</v>
      </c>
      <c r="O50" s="20">
        <f t="shared" si="8"/>
        <v>10405</v>
      </c>
    </row>
    <row r="51" spans="1:16" x14ac:dyDescent="0.3">
      <c r="B51" s="10"/>
      <c r="C51" s="9"/>
      <c r="D51" s="9"/>
      <c r="E51" s="9"/>
      <c r="F51" s="9"/>
      <c r="G51" s="9"/>
      <c r="H51" s="9">
        <v>400</v>
      </c>
      <c r="I51" s="9"/>
      <c r="J51" s="9"/>
      <c r="K51" s="9"/>
      <c r="L51" s="9"/>
      <c r="M51" s="9"/>
      <c r="N51" s="9">
        <f>1130+3500</f>
        <v>4630</v>
      </c>
      <c r="O51" s="20">
        <f t="shared" si="8"/>
        <v>5030</v>
      </c>
    </row>
    <row r="52" spans="1:16" x14ac:dyDescent="0.3">
      <c r="C52" s="2">
        <f>SUM(C46:C51)</f>
        <v>0</v>
      </c>
      <c r="D52" s="2">
        <f t="shared" ref="D52:M52" si="9">SUM(D46:D51)</f>
        <v>12134.9</v>
      </c>
      <c r="E52" s="2">
        <f t="shared" si="9"/>
        <v>47785</v>
      </c>
      <c r="F52" s="2">
        <f t="shared" si="9"/>
        <v>15950</v>
      </c>
      <c r="G52" s="2">
        <f t="shared" si="9"/>
        <v>3890</v>
      </c>
      <c r="H52" s="2">
        <f t="shared" si="9"/>
        <v>40200</v>
      </c>
      <c r="I52" s="2">
        <f t="shared" si="9"/>
        <v>630</v>
      </c>
      <c r="J52" s="2">
        <f t="shared" si="9"/>
        <v>100</v>
      </c>
      <c r="K52" s="2">
        <f t="shared" si="9"/>
        <v>24645</v>
      </c>
      <c r="L52" s="2">
        <f>SUM(L46:L51)</f>
        <v>0</v>
      </c>
      <c r="M52" s="2">
        <f t="shared" si="9"/>
        <v>34444</v>
      </c>
      <c r="N52" s="2">
        <f>SUM(N46:N51)</f>
        <v>58680</v>
      </c>
      <c r="O52" s="3">
        <f>C52+D52+E52+F52+G52+H52+I52+J52+K52+L52+M52+N52</f>
        <v>238458.9</v>
      </c>
    </row>
    <row r="53" spans="1:16" x14ac:dyDescent="0.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</row>
    <row r="54" spans="1:16" x14ac:dyDescent="0.3">
      <c r="B54" s="10" t="s">
        <v>6</v>
      </c>
      <c r="C54" s="9"/>
      <c r="D54" s="9"/>
      <c r="E54" s="9"/>
      <c r="F54" s="9"/>
      <c r="G54" s="9">
        <f>1990+610+370</f>
        <v>2970</v>
      </c>
      <c r="H54" s="9">
        <v>334</v>
      </c>
      <c r="I54" s="9">
        <v>513.5</v>
      </c>
      <c r="J54" s="9">
        <v>347</v>
      </c>
      <c r="K54" s="9">
        <v>540</v>
      </c>
      <c r="L54" s="9"/>
      <c r="M54" s="9"/>
      <c r="N54" s="9"/>
      <c r="O54" s="20">
        <f t="shared" si="1"/>
        <v>4704.5</v>
      </c>
    </row>
    <row r="55" spans="1:16" x14ac:dyDescent="0.3">
      <c r="B55" s="10" t="s">
        <v>145</v>
      </c>
      <c r="C55" s="9"/>
      <c r="D55" s="9"/>
      <c r="E55" s="9"/>
      <c r="F55" s="9">
        <v>432</v>
      </c>
      <c r="G55" s="9"/>
      <c r="H55" s="9"/>
      <c r="I55" s="9">
        <f>150+40</f>
        <v>190</v>
      </c>
      <c r="J55" s="9">
        <f>20+50</f>
        <v>70</v>
      </c>
      <c r="K55" s="9">
        <v>10</v>
      </c>
      <c r="L55" s="9"/>
      <c r="M55" s="9"/>
      <c r="N55" s="9">
        <v>191</v>
      </c>
      <c r="O55" s="20">
        <f t="shared" si="1"/>
        <v>893</v>
      </c>
    </row>
    <row r="56" spans="1:16" x14ac:dyDescent="0.3">
      <c r="A56" s="236"/>
      <c r="B56" s="10" t="s">
        <v>428</v>
      </c>
      <c r="C56" s="9"/>
      <c r="D56" s="9"/>
      <c r="E56" s="9"/>
      <c r="F56" s="9">
        <v>584</v>
      </c>
      <c r="G56" s="9">
        <v>210</v>
      </c>
      <c r="H56" s="9">
        <v>253</v>
      </c>
      <c r="I56" s="9"/>
      <c r="J56" s="9">
        <v>75</v>
      </c>
      <c r="K56" s="9"/>
      <c r="L56" s="9">
        <f>85+460.6</f>
        <v>545.6</v>
      </c>
      <c r="M56" s="9">
        <v>762</v>
      </c>
      <c r="N56" s="9"/>
      <c r="O56" s="20">
        <f t="shared" si="1"/>
        <v>2429.6</v>
      </c>
    </row>
    <row r="57" spans="1:16" x14ac:dyDescent="0.3">
      <c r="B57" s="10" t="s">
        <v>146</v>
      </c>
      <c r="C57" s="9"/>
      <c r="D57" s="9"/>
      <c r="E57" s="9"/>
      <c r="F57" s="52"/>
      <c r="G57" s="9"/>
      <c r="H57" s="9"/>
      <c r="I57" s="9"/>
      <c r="J57" s="9"/>
      <c r="K57" s="9"/>
      <c r="L57" s="9"/>
      <c r="M57" s="9">
        <v>671</v>
      </c>
      <c r="N57" s="9"/>
      <c r="O57" s="20">
        <f t="shared" si="1"/>
        <v>671</v>
      </c>
    </row>
    <row r="58" spans="1:16" x14ac:dyDescent="0.3">
      <c r="B58" s="10" t="s">
        <v>147</v>
      </c>
      <c r="C58" s="9"/>
      <c r="D58" s="9"/>
      <c r="E58" s="9">
        <v>661</v>
      </c>
      <c r="F58" s="52"/>
      <c r="G58" s="9">
        <v>350</v>
      </c>
      <c r="H58" s="9"/>
      <c r="I58" s="9"/>
      <c r="J58" s="9"/>
      <c r="K58" s="9"/>
      <c r="L58" s="9"/>
      <c r="M58" s="9"/>
      <c r="N58" s="9"/>
      <c r="O58" s="20">
        <f t="shared" si="1"/>
        <v>1011</v>
      </c>
    </row>
    <row r="59" spans="1:16" x14ac:dyDescent="0.3">
      <c r="B59" s="10" t="s">
        <v>148</v>
      </c>
      <c r="C59" s="9"/>
      <c r="D59" s="9"/>
      <c r="E59" s="9"/>
      <c r="F59" s="52"/>
      <c r="G59" s="9"/>
      <c r="H59" s="9"/>
      <c r="I59" s="9"/>
      <c r="J59" s="9"/>
      <c r="K59" s="9"/>
      <c r="L59" s="9"/>
      <c r="M59" s="9"/>
      <c r="N59" s="9"/>
      <c r="O59" s="20">
        <f t="shared" si="1"/>
        <v>0</v>
      </c>
    </row>
    <row r="60" spans="1:16" x14ac:dyDescent="0.3">
      <c r="B60" s="10" t="s">
        <v>149</v>
      </c>
      <c r="C60" s="9"/>
      <c r="D60" s="9"/>
      <c r="E60" s="9"/>
      <c r="F60" s="9">
        <v>1190</v>
      </c>
      <c r="G60" s="9"/>
      <c r="H60" s="9"/>
      <c r="I60" s="9"/>
      <c r="J60" s="9"/>
      <c r="K60" s="9"/>
      <c r="L60" s="9"/>
      <c r="M60" s="9"/>
      <c r="N60" s="9"/>
      <c r="O60" s="20">
        <f t="shared" si="1"/>
        <v>1190</v>
      </c>
      <c r="P60" s="54"/>
    </row>
    <row r="61" spans="1:16" x14ac:dyDescent="0.3">
      <c r="B61" s="112" t="s">
        <v>439</v>
      </c>
      <c r="C61" s="9"/>
      <c r="D61" s="9"/>
      <c r="E61" s="9"/>
      <c r="F61" s="9"/>
      <c r="G61" s="9"/>
      <c r="H61" s="9"/>
      <c r="I61" s="9">
        <v>2610</v>
      </c>
      <c r="J61" s="9"/>
      <c r="K61" s="9"/>
      <c r="L61" s="9"/>
      <c r="M61" s="9"/>
      <c r="N61" s="9"/>
      <c r="O61" s="20">
        <f t="shared" si="1"/>
        <v>2610</v>
      </c>
      <c r="P61" s="54"/>
    </row>
    <row r="62" spans="1:16" x14ac:dyDescent="0.3">
      <c r="B62" s="112" t="s">
        <v>211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20">
        <f t="shared" si="1"/>
        <v>0</v>
      </c>
    </row>
    <row r="63" spans="1:16" x14ac:dyDescent="0.3">
      <c r="B63" s="112" t="s">
        <v>182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20">
        <f t="shared" si="1"/>
        <v>0</v>
      </c>
    </row>
    <row r="64" spans="1:16" x14ac:dyDescent="0.3">
      <c r="A64" s="119"/>
      <c r="B64" s="112" t="s">
        <v>209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20">
        <f t="shared" si="1"/>
        <v>0</v>
      </c>
    </row>
    <row r="65" spans="1:15" x14ac:dyDescent="0.3">
      <c r="A65" s="119"/>
      <c r="B65" s="112" t="s">
        <v>210</v>
      </c>
      <c r="C65" s="9">
        <v>535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20">
        <f t="shared" si="1"/>
        <v>535</v>
      </c>
    </row>
    <row r="66" spans="1:15" x14ac:dyDescent="0.3"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20">
        <f t="shared" si="1"/>
        <v>0</v>
      </c>
    </row>
    <row r="67" spans="1:15" x14ac:dyDescent="0.3">
      <c r="C67" s="9">
        <f>SUM(C54:C66)</f>
        <v>535</v>
      </c>
      <c r="D67" s="9">
        <f>SUM(D54:D66)</f>
        <v>0</v>
      </c>
      <c r="E67" s="9">
        <f t="shared" ref="E67:N67" si="10">SUM(E54:E66)</f>
        <v>661</v>
      </c>
      <c r="F67" s="9">
        <f t="shared" si="10"/>
        <v>2206</v>
      </c>
      <c r="G67" s="9">
        <f t="shared" si="10"/>
        <v>3530</v>
      </c>
      <c r="H67" s="9">
        <f t="shared" si="10"/>
        <v>587</v>
      </c>
      <c r="I67" s="9">
        <f t="shared" si="10"/>
        <v>3313.5</v>
      </c>
      <c r="J67" s="9">
        <f t="shared" si="10"/>
        <v>492</v>
      </c>
      <c r="K67" s="9">
        <f t="shared" si="10"/>
        <v>550</v>
      </c>
      <c r="L67" s="9">
        <f t="shared" si="10"/>
        <v>545.6</v>
      </c>
      <c r="M67" s="9">
        <f t="shared" si="10"/>
        <v>1433</v>
      </c>
      <c r="N67" s="9">
        <f t="shared" si="10"/>
        <v>191</v>
      </c>
      <c r="O67" s="9">
        <f>SUM(O54:O66)</f>
        <v>14044.1</v>
      </c>
    </row>
    <row r="68" spans="1:15" x14ac:dyDescent="0.3">
      <c r="C68" s="15">
        <f>+C15+C23+C36+C44+C52+C67</f>
        <v>6134.8</v>
      </c>
      <c r="D68" s="15">
        <f>+D15+D23+D36+D44+D52+D67</f>
        <v>24320.199999999997</v>
      </c>
      <c r="E68" s="15">
        <f t="shared" ref="E68:O68" si="11">+E15+E23+E36+E44+E52+E67</f>
        <v>63348.9</v>
      </c>
      <c r="F68" s="15">
        <f t="shared" si="11"/>
        <v>26461.599999999999</v>
      </c>
      <c r="G68" s="15">
        <f t="shared" si="11"/>
        <v>17574.3</v>
      </c>
      <c r="H68" s="15">
        <f t="shared" si="11"/>
        <v>54094.5</v>
      </c>
      <c r="I68" s="15">
        <f t="shared" si="11"/>
        <v>14344.8</v>
      </c>
      <c r="J68" s="15">
        <f t="shared" si="11"/>
        <v>7404.5</v>
      </c>
      <c r="K68" s="15">
        <f t="shared" si="11"/>
        <v>44106.6</v>
      </c>
      <c r="L68" s="15">
        <f t="shared" si="11"/>
        <v>13859.300000000001</v>
      </c>
      <c r="M68" s="15">
        <f t="shared" si="11"/>
        <v>50169.4</v>
      </c>
      <c r="N68" s="15">
        <f t="shared" si="11"/>
        <v>75147.7</v>
      </c>
      <c r="O68" s="15">
        <f t="shared" si="11"/>
        <v>396966.6</v>
      </c>
    </row>
  </sheetData>
  <mergeCells count="10">
    <mergeCell ref="A28:A29"/>
    <mergeCell ref="A30:A31"/>
    <mergeCell ref="A32:A33"/>
    <mergeCell ref="A34:A35"/>
    <mergeCell ref="A1:O1"/>
    <mergeCell ref="A2:O2"/>
    <mergeCell ref="A3:O3"/>
    <mergeCell ref="A4:O4"/>
    <mergeCell ref="A5:O5"/>
    <mergeCell ref="A26:A27"/>
  </mergeCells>
  <pageMargins left="0.7" right="0.7" top="0.75" bottom="0.75" header="0.3" footer="0.3"/>
  <pageSetup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8"/>
  <sheetViews>
    <sheetView workbookViewId="0">
      <pane xSplit="2" ySplit="9" topLeftCell="D44" activePane="bottomRight" state="frozen"/>
      <selection pane="topRight" activeCell="C1" sqref="C1"/>
      <selection pane="bottomLeft" activeCell="A7" sqref="A7"/>
      <selection pane="bottomRight" activeCell="M49" sqref="M49"/>
    </sheetView>
  </sheetViews>
  <sheetFormatPr defaultColWidth="8.88671875" defaultRowHeight="14.4" x14ac:dyDescent="0.3"/>
  <cols>
    <col min="1" max="1" width="8.88671875" style="5"/>
    <col min="2" max="2" width="33" customWidth="1"/>
    <col min="3" max="5" width="10.5546875" style="1" bestFit="1" customWidth="1"/>
    <col min="6" max="6" width="10.6640625" style="1" customWidth="1"/>
    <col min="7" max="7" width="10.5546875" style="1" bestFit="1" customWidth="1"/>
    <col min="8" max="8" width="11.33203125" style="1" customWidth="1"/>
    <col min="9" max="9" width="11" style="1" customWidth="1"/>
    <col min="10" max="10" width="11.109375" style="1" customWidth="1"/>
    <col min="11" max="11" width="11.44140625" style="1" customWidth="1"/>
    <col min="12" max="14" width="10.5546875" style="1" bestFit="1" customWidth="1"/>
    <col min="15" max="15" width="11.44140625" customWidth="1"/>
    <col min="16" max="16" width="9.5546875" bestFit="1" customWidth="1"/>
  </cols>
  <sheetData>
    <row r="1" spans="1:15" ht="15.6" x14ac:dyDescent="0.3">
      <c r="A1" s="280" t="str">
        <f>+'weekly income statement'!A1:O1</f>
        <v>THE METHODIST CHURCH GHANA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</row>
    <row r="2" spans="1:15" ht="15.75" customHeight="1" x14ac:dyDescent="0.3">
      <c r="A2" s="278" t="str">
        <f>+'weekly income statement'!A2:O2</f>
        <v>ACCRA NORTH DIOCESE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</row>
    <row r="3" spans="1:15" ht="15.75" customHeight="1" x14ac:dyDescent="0.3">
      <c r="A3" s="278" t="str">
        <f>+'weekly income statement'!A3:O3</f>
        <v>GA SUB-URBAN CIRCUIT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</row>
    <row r="4" spans="1:15" ht="15.75" customHeight="1" x14ac:dyDescent="0.3">
      <c r="A4" s="278" t="str">
        <f>+'weekly income statement'!A4:O4</f>
        <v>HEBRON  SOCIETY</v>
      </c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</row>
    <row r="5" spans="1:15" ht="15.6" x14ac:dyDescent="0.3">
      <c r="A5" s="279" t="str">
        <f>+'weekly income statement'!A5:O5</f>
        <v>STATEMENT OF ACCOUNT FOR THE PERIOD 1ST JANUARY,2024 TO 31ST DECEMBER,2024</v>
      </c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</row>
    <row r="6" spans="1:15" ht="15.6" x14ac:dyDescent="0.3">
      <c r="A6" s="279" t="s">
        <v>443</v>
      </c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/>
    </row>
    <row r="7" spans="1:15" x14ac:dyDescent="0.3">
      <c r="B7" s="16"/>
    </row>
    <row r="8" spans="1:15" ht="15.6" x14ac:dyDescent="0.3">
      <c r="A8" s="5" t="s">
        <v>33</v>
      </c>
      <c r="B8" s="4" t="s">
        <v>34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139</v>
      </c>
      <c r="I8" s="8" t="s">
        <v>140</v>
      </c>
      <c r="J8" s="8" t="s">
        <v>29</v>
      </c>
      <c r="K8" s="8" t="s">
        <v>30</v>
      </c>
      <c r="L8" s="8" t="s">
        <v>19</v>
      </c>
      <c r="M8" s="8" t="s">
        <v>20</v>
      </c>
      <c r="N8" s="8" t="s">
        <v>21</v>
      </c>
      <c r="O8" s="8" t="s">
        <v>31</v>
      </c>
    </row>
    <row r="9" spans="1:15" ht="15.6" x14ac:dyDescent="0.3">
      <c r="B9" s="4"/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</row>
    <row r="10" spans="1:15" x14ac:dyDescent="0.3">
      <c r="B10" s="10" t="s">
        <v>152</v>
      </c>
      <c r="C10" s="9">
        <v>100</v>
      </c>
      <c r="D10" s="9">
        <v>100</v>
      </c>
      <c r="E10" s="46">
        <v>600</v>
      </c>
      <c r="F10" s="9">
        <v>50</v>
      </c>
      <c r="G10" s="9">
        <v>650</v>
      </c>
      <c r="H10" s="9">
        <v>400</v>
      </c>
      <c r="I10" s="9">
        <v>100</v>
      </c>
      <c r="J10" s="9">
        <v>100</v>
      </c>
      <c r="K10" s="9">
        <v>400</v>
      </c>
      <c r="L10" s="9">
        <v>200</v>
      </c>
      <c r="M10" s="9">
        <v>100</v>
      </c>
      <c r="N10" s="9">
        <v>500</v>
      </c>
      <c r="O10" s="20">
        <f>C10+D10+E10+F10+G10+H10+I10+J10+K10+L10+M10+N10</f>
        <v>3300</v>
      </c>
    </row>
    <row r="11" spans="1:15" x14ac:dyDescent="0.3">
      <c r="B11" s="10"/>
      <c r="C11" s="9">
        <v>400</v>
      </c>
      <c r="D11" s="9">
        <v>50</v>
      </c>
      <c r="E11" s="9">
        <v>100</v>
      </c>
      <c r="F11" s="9">
        <v>100</v>
      </c>
      <c r="G11" s="9">
        <v>100</v>
      </c>
      <c r="H11" s="9">
        <v>100</v>
      </c>
      <c r="I11" s="9">
        <v>200</v>
      </c>
      <c r="J11" s="9">
        <v>200</v>
      </c>
      <c r="K11" s="9">
        <v>100</v>
      </c>
      <c r="L11" s="9">
        <v>100</v>
      </c>
      <c r="M11" s="9">
        <v>100</v>
      </c>
      <c r="N11" s="9">
        <v>200</v>
      </c>
      <c r="O11" s="20">
        <f t="shared" ref="O11:O23" si="0">C11+D11+E11+F11+G11+H11+I11+J11+K11+L11+M11+N11</f>
        <v>1750</v>
      </c>
    </row>
    <row r="12" spans="1:15" x14ac:dyDescent="0.3">
      <c r="B12" s="10"/>
      <c r="C12" s="9"/>
      <c r="D12" s="9">
        <f>200+50</f>
        <v>250</v>
      </c>
      <c r="E12" s="9">
        <v>1000</v>
      </c>
      <c r="F12" s="9">
        <v>50</v>
      </c>
      <c r="G12" s="9"/>
      <c r="H12" s="9">
        <v>200</v>
      </c>
      <c r="I12" s="9">
        <v>100</v>
      </c>
      <c r="J12" s="9">
        <v>200</v>
      </c>
      <c r="K12" s="9">
        <v>150</v>
      </c>
      <c r="L12" s="9">
        <v>200</v>
      </c>
      <c r="M12" s="9">
        <v>100</v>
      </c>
      <c r="N12" s="9">
        <v>200</v>
      </c>
      <c r="O12" s="20">
        <f t="shared" si="0"/>
        <v>2450</v>
      </c>
    </row>
    <row r="13" spans="1:15" x14ac:dyDescent="0.3">
      <c r="B13" s="10"/>
      <c r="C13" s="9"/>
      <c r="D13" s="9">
        <v>50</v>
      </c>
      <c r="E13" s="9">
        <v>600</v>
      </c>
      <c r="F13" s="9">
        <v>200</v>
      </c>
      <c r="G13" s="9">
        <v>200</v>
      </c>
      <c r="H13" s="9">
        <v>400</v>
      </c>
      <c r="I13" s="9">
        <v>1000</v>
      </c>
      <c r="J13" s="9">
        <v>500</v>
      </c>
      <c r="K13" s="9">
        <v>450</v>
      </c>
      <c r="L13" s="9">
        <v>200</v>
      </c>
      <c r="M13" s="9">
        <v>200</v>
      </c>
      <c r="N13" s="9">
        <v>200</v>
      </c>
      <c r="O13" s="20">
        <f t="shared" si="0"/>
        <v>4000</v>
      </c>
    </row>
    <row r="14" spans="1:15" x14ac:dyDescent="0.3">
      <c r="B14" s="10"/>
      <c r="C14" s="9"/>
      <c r="D14" s="9"/>
      <c r="E14" s="9"/>
      <c r="F14" s="9"/>
      <c r="G14" s="9"/>
      <c r="H14" s="9">
        <v>3000</v>
      </c>
      <c r="I14" s="9">
        <v>400</v>
      </c>
      <c r="J14" s="9"/>
      <c r="K14" s="9"/>
      <c r="L14" s="9">
        <v>100</v>
      </c>
      <c r="M14" s="9"/>
      <c r="N14" s="9">
        <v>0</v>
      </c>
      <c r="O14" s="20">
        <f t="shared" si="0"/>
        <v>3500</v>
      </c>
    </row>
    <row r="15" spans="1:15" x14ac:dyDescent="0.3">
      <c r="C15" s="113">
        <f>SUM(C10:C14)</f>
        <v>500</v>
      </c>
      <c r="D15" s="113">
        <f t="shared" ref="D15:N15" si="1">SUM(D10:D14)</f>
        <v>450</v>
      </c>
      <c r="E15" s="113">
        <f t="shared" si="1"/>
        <v>2300</v>
      </c>
      <c r="F15" s="113">
        <f t="shared" si="1"/>
        <v>400</v>
      </c>
      <c r="G15" s="113">
        <f t="shared" si="1"/>
        <v>950</v>
      </c>
      <c r="H15" s="113">
        <f>SUM(H10:H14)</f>
        <v>4100</v>
      </c>
      <c r="I15" s="113">
        <f t="shared" si="1"/>
        <v>1800</v>
      </c>
      <c r="J15" s="113">
        <f t="shared" si="1"/>
        <v>1000</v>
      </c>
      <c r="K15" s="113">
        <f t="shared" si="1"/>
        <v>1100</v>
      </c>
      <c r="L15" s="113">
        <f t="shared" si="1"/>
        <v>800</v>
      </c>
      <c r="M15" s="113">
        <f t="shared" si="1"/>
        <v>500</v>
      </c>
      <c r="N15" s="113">
        <f t="shared" si="1"/>
        <v>1100</v>
      </c>
      <c r="O15" s="114">
        <f t="shared" si="0"/>
        <v>15000</v>
      </c>
    </row>
    <row r="16" spans="1:15" x14ac:dyDescent="0.3">
      <c r="O16" s="3">
        <f t="shared" si="0"/>
        <v>0</v>
      </c>
    </row>
    <row r="17" spans="2:15" x14ac:dyDescent="0.3">
      <c r="B17" s="10" t="s">
        <v>153</v>
      </c>
      <c r="C17" s="9">
        <v>200</v>
      </c>
      <c r="D17" s="9"/>
      <c r="E17" s="9"/>
      <c r="F17" s="9">
        <v>900</v>
      </c>
      <c r="G17" s="9">
        <v>1200</v>
      </c>
      <c r="H17" s="9"/>
      <c r="I17" s="9">
        <v>400</v>
      </c>
      <c r="J17" s="9"/>
      <c r="K17" s="9"/>
      <c r="L17" s="9"/>
      <c r="M17" s="9"/>
      <c r="N17" s="9"/>
      <c r="O17" s="20">
        <f>C17+D17+E17+F17+G17+H17+I17+J17+K17+L17+M17+N17</f>
        <v>2700</v>
      </c>
    </row>
    <row r="18" spans="2:15" x14ac:dyDescent="0.3"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20">
        <f t="shared" ref="O18:O22" si="2">C18+D18+E18+F18+G18+H18+I18+J18+K18+L18+M18+N18</f>
        <v>0</v>
      </c>
    </row>
    <row r="19" spans="2:15" x14ac:dyDescent="0.3"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20">
        <f t="shared" si="2"/>
        <v>0</v>
      </c>
    </row>
    <row r="20" spans="2:15" x14ac:dyDescent="0.3"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20">
        <f t="shared" si="2"/>
        <v>0</v>
      </c>
    </row>
    <row r="21" spans="2:15" x14ac:dyDescent="0.3"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20">
        <f t="shared" si="2"/>
        <v>0</v>
      </c>
    </row>
    <row r="22" spans="2:15" x14ac:dyDescent="0.3">
      <c r="C22" s="52">
        <f>SUM(C17:C21)</f>
        <v>200</v>
      </c>
      <c r="D22" s="52">
        <f t="shared" ref="D22:N22" si="3">SUM(D17:D21)</f>
        <v>0</v>
      </c>
      <c r="E22" s="52">
        <f t="shared" si="3"/>
        <v>0</v>
      </c>
      <c r="F22" s="52">
        <f t="shared" si="3"/>
        <v>900</v>
      </c>
      <c r="G22" s="52">
        <f t="shared" si="3"/>
        <v>1200</v>
      </c>
      <c r="H22" s="52">
        <f t="shared" si="3"/>
        <v>0</v>
      </c>
      <c r="I22" s="52">
        <f t="shared" si="3"/>
        <v>400</v>
      </c>
      <c r="J22" s="52">
        <f t="shared" si="3"/>
        <v>0</v>
      </c>
      <c r="K22" s="52">
        <f t="shared" si="3"/>
        <v>0</v>
      </c>
      <c r="L22" s="52">
        <f t="shared" si="3"/>
        <v>0</v>
      </c>
      <c r="M22" s="52">
        <f t="shared" si="3"/>
        <v>0</v>
      </c>
      <c r="N22" s="52">
        <f t="shared" si="3"/>
        <v>0</v>
      </c>
      <c r="O22" s="20">
        <f t="shared" si="2"/>
        <v>2700</v>
      </c>
    </row>
    <row r="23" spans="2:15" x14ac:dyDescent="0.3">
      <c r="O23" s="3">
        <f t="shared" si="0"/>
        <v>0</v>
      </c>
    </row>
    <row r="24" spans="2:15" x14ac:dyDescent="0.3">
      <c r="B24" s="10" t="s">
        <v>6</v>
      </c>
      <c r="C24" s="9">
        <v>200</v>
      </c>
      <c r="D24" s="9"/>
      <c r="E24" s="9">
        <v>200</v>
      </c>
      <c r="F24" s="9"/>
      <c r="G24" s="9">
        <v>300</v>
      </c>
      <c r="H24" s="9">
        <v>200</v>
      </c>
      <c r="I24" s="9"/>
      <c r="J24" s="9">
        <f>100+200</f>
        <v>300</v>
      </c>
      <c r="K24" s="9">
        <v>400</v>
      </c>
      <c r="L24" s="9">
        <v>200</v>
      </c>
      <c r="M24" s="9">
        <f>200+1000</f>
        <v>1200</v>
      </c>
      <c r="N24" s="9">
        <v>200</v>
      </c>
      <c r="O24" s="20">
        <f>C24+D24+E24+F24+G24+H24+I24+J24+K24+L24+M24+N24</f>
        <v>3200</v>
      </c>
    </row>
    <row r="25" spans="2:15" x14ac:dyDescent="0.3">
      <c r="B25" s="10"/>
      <c r="C25" s="9"/>
      <c r="D25" s="9"/>
      <c r="E25" s="9">
        <v>500</v>
      </c>
      <c r="F25" s="9"/>
      <c r="G25" s="9"/>
      <c r="H25" s="9"/>
      <c r="I25" s="9"/>
      <c r="J25" s="9"/>
      <c r="K25" s="9"/>
      <c r="L25" s="9"/>
      <c r="M25" s="9">
        <v>500</v>
      </c>
      <c r="N25" s="9"/>
      <c r="O25" s="20">
        <f t="shared" ref="O25:O29" si="4">C25+D25+E25+F25+G25+H25+I25+J25+K25+L25+M25+N25</f>
        <v>1000</v>
      </c>
    </row>
    <row r="26" spans="2:15" x14ac:dyDescent="0.3"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20">
        <f t="shared" si="4"/>
        <v>0</v>
      </c>
    </row>
    <row r="27" spans="2:15" x14ac:dyDescent="0.3"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20">
        <f t="shared" si="4"/>
        <v>0</v>
      </c>
    </row>
    <row r="28" spans="2:15" x14ac:dyDescent="0.3"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20">
        <f t="shared" si="4"/>
        <v>0</v>
      </c>
    </row>
    <row r="29" spans="2:15" x14ac:dyDescent="0.3">
      <c r="C29" s="52">
        <f>SUM(C24:C28)</f>
        <v>200</v>
      </c>
      <c r="D29" s="52">
        <f t="shared" ref="D29:N29" si="5">SUM(D24:D28)</f>
        <v>0</v>
      </c>
      <c r="E29" s="52">
        <f t="shared" si="5"/>
        <v>700</v>
      </c>
      <c r="F29" s="52">
        <f t="shared" si="5"/>
        <v>0</v>
      </c>
      <c r="G29" s="52">
        <f t="shared" si="5"/>
        <v>300</v>
      </c>
      <c r="H29" s="52">
        <f t="shared" si="5"/>
        <v>200</v>
      </c>
      <c r="I29" s="52">
        <f t="shared" si="5"/>
        <v>0</v>
      </c>
      <c r="J29" s="52">
        <f>SUM(J24:J28)</f>
        <v>300</v>
      </c>
      <c r="K29" s="52">
        <f t="shared" si="5"/>
        <v>400</v>
      </c>
      <c r="L29" s="52">
        <f t="shared" si="5"/>
        <v>200</v>
      </c>
      <c r="M29" s="52">
        <f t="shared" si="5"/>
        <v>1700</v>
      </c>
      <c r="N29" s="52">
        <f t="shared" si="5"/>
        <v>200</v>
      </c>
      <c r="O29" s="20">
        <f t="shared" si="4"/>
        <v>4200</v>
      </c>
    </row>
    <row r="30" spans="2:15" x14ac:dyDescent="0.3">
      <c r="D30" s="1">
        <v>0</v>
      </c>
      <c r="F30" s="2">
        <f>SUM(F29)</f>
        <v>0</v>
      </c>
      <c r="O30" s="3"/>
    </row>
    <row r="31" spans="2:15" x14ac:dyDescent="0.3">
      <c r="F31" s="2"/>
      <c r="O31" s="3"/>
    </row>
    <row r="32" spans="2:15" x14ac:dyDescent="0.3">
      <c r="F32" s="2"/>
      <c r="O32" s="3"/>
    </row>
    <row r="33" spans="2:17" x14ac:dyDescent="0.3">
      <c r="F33" s="2"/>
      <c r="O33" s="3"/>
    </row>
    <row r="34" spans="2:17" x14ac:dyDescent="0.3">
      <c r="B34" s="10" t="s">
        <v>154</v>
      </c>
      <c r="C34" s="9"/>
      <c r="D34" s="9"/>
      <c r="E34" s="9"/>
      <c r="F34" s="9"/>
      <c r="G34" s="9"/>
      <c r="H34" s="9">
        <v>3440</v>
      </c>
      <c r="I34" s="9"/>
      <c r="J34" s="9"/>
      <c r="K34" s="9"/>
      <c r="L34" s="9"/>
      <c r="M34" s="9">
        <f>5400+3500+3129.3+1618.2+120+600+3900+300+1100</f>
        <v>19667.5</v>
      </c>
      <c r="N34" s="9">
        <v>5300</v>
      </c>
      <c r="O34" s="20">
        <f>C34+D34+E34+F34+G34+H34+I34+J34+K34+L34+M34+N34</f>
        <v>28407.5</v>
      </c>
    </row>
    <row r="35" spans="2:17" x14ac:dyDescent="0.3">
      <c r="B35" s="10" t="s">
        <v>155</v>
      </c>
      <c r="C35" s="9"/>
      <c r="D35" s="9"/>
      <c r="E35" s="9">
        <v>3000</v>
      </c>
      <c r="F35" s="9">
        <v>550</v>
      </c>
      <c r="G35" s="9">
        <f>750+400+3500</f>
        <v>4650</v>
      </c>
      <c r="H35" s="9"/>
      <c r="I35" s="9"/>
      <c r="J35" s="9"/>
      <c r="K35" s="9"/>
      <c r="L35" s="9"/>
      <c r="M35" s="9">
        <f>1147+500+1251+300</f>
        <v>3198</v>
      </c>
      <c r="N35" s="9">
        <v>400</v>
      </c>
      <c r="O35" s="20">
        <f t="shared" ref="O35:O44" si="6">C35+D35+E35+F35+G35+H35+I35+J35+K35+L35+M35+N35</f>
        <v>11798</v>
      </c>
    </row>
    <row r="36" spans="2:17" x14ac:dyDescent="0.3">
      <c r="B36" s="10" t="s">
        <v>217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>
        <v>671</v>
      </c>
      <c r="N36" s="9"/>
      <c r="O36" s="20">
        <f t="shared" si="6"/>
        <v>671</v>
      </c>
    </row>
    <row r="37" spans="2:17" x14ac:dyDescent="0.3">
      <c r="B37" s="10" t="s">
        <v>157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20">
        <f t="shared" si="6"/>
        <v>0</v>
      </c>
    </row>
    <row r="38" spans="2:17" x14ac:dyDescent="0.3">
      <c r="B38" s="10" t="s">
        <v>158</v>
      </c>
      <c r="C38" s="9"/>
      <c r="D38" s="9">
        <v>188</v>
      </c>
      <c r="E38" s="9">
        <v>661</v>
      </c>
      <c r="F38" s="9"/>
      <c r="G38" s="9">
        <v>350</v>
      </c>
      <c r="H38" s="9"/>
      <c r="I38" s="9"/>
      <c r="J38" s="9"/>
      <c r="K38" s="9"/>
      <c r="L38" s="9"/>
      <c r="M38" s="9"/>
      <c r="N38" s="9"/>
      <c r="O38" s="20">
        <f t="shared" si="6"/>
        <v>1199</v>
      </c>
    </row>
    <row r="39" spans="2:17" x14ac:dyDescent="0.3">
      <c r="B39" s="10" t="s">
        <v>159</v>
      </c>
      <c r="C39" s="9"/>
      <c r="D39" s="9"/>
      <c r="E39" s="9"/>
      <c r="F39" s="9"/>
      <c r="G39" s="9"/>
      <c r="H39" s="9"/>
      <c r="I39" s="9"/>
      <c r="J39" s="9"/>
      <c r="K39" s="9">
        <f>500+300+200</f>
        <v>1000</v>
      </c>
      <c r="L39" s="9"/>
      <c r="M39" s="9"/>
      <c r="N39" s="9">
        <v>2050</v>
      </c>
      <c r="O39" s="20">
        <f t="shared" si="6"/>
        <v>3050</v>
      </c>
    </row>
    <row r="40" spans="2:17" x14ac:dyDescent="0.3">
      <c r="B40" s="10" t="s">
        <v>160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20">
        <f t="shared" si="6"/>
        <v>0</v>
      </c>
      <c r="P40" s="3"/>
    </row>
    <row r="41" spans="2:17" x14ac:dyDescent="0.3">
      <c r="B41" s="10" t="s">
        <v>173</v>
      </c>
      <c r="C41" s="9">
        <v>160</v>
      </c>
      <c r="D41" s="9">
        <v>280</v>
      </c>
      <c r="E41" s="9">
        <f>100+1000</f>
        <v>1100</v>
      </c>
      <c r="F41" s="9">
        <v>70</v>
      </c>
      <c r="G41" s="9"/>
      <c r="H41" s="9"/>
      <c r="I41" s="9">
        <f>460+40</f>
        <v>500</v>
      </c>
      <c r="J41" s="9"/>
      <c r="K41" s="9"/>
      <c r="L41" s="9"/>
      <c r="M41" s="9"/>
      <c r="N41" s="9"/>
      <c r="O41" s="20">
        <f>C41+D41+E41+F41+G41+H41+I41+J41+K41+L41+M41+N41</f>
        <v>2110</v>
      </c>
    </row>
    <row r="42" spans="2:17" x14ac:dyDescent="0.3">
      <c r="B42" s="10" t="s">
        <v>38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20">
        <f t="shared" si="6"/>
        <v>0</v>
      </c>
    </row>
    <row r="43" spans="2:17" x14ac:dyDescent="0.3"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20">
        <f t="shared" si="6"/>
        <v>0</v>
      </c>
    </row>
    <row r="44" spans="2:17" x14ac:dyDescent="0.3">
      <c r="C44" s="52">
        <f t="shared" ref="C44:N44" si="7">SUM(C34:C43)</f>
        <v>160</v>
      </c>
      <c r="D44" s="52">
        <f t="shared" si="7"/>
        <v>468</v>
      </c>
      <c r="E44" s="52">
        <f t="shared" si="7"/>
        <v>4761</v>
      </c>
      <c r="F44" s="52">
        <f t="shared" si="7"/>
        <v>620</v>
      </c>
      <c r="G44" s="52">
        <f t="shared" si="7"/>
        <v>5000</v>
      </c>
      <c r="H44" s="52">
        <f t="shared" si="7"/>
        <v>3440</v>
      </c>
      <c r="I44" s="52">
        <f t="shared" si="7"/>
        <v>500</v>
      </c>
      <c r="J44" s="52">
        <f t="shared" si="7"/>
        <v>0</v>
      </c>
      <c r="K44" s="52">
        <f t="shared" si="7"/>
        <v>1000</v>
      </c>
      <c r="L44" s="52">
        <f t="shared" si="7"/>
        <v>0</v>
      </c>
      <c r="M44" s="52">
        <f t="shared" si="7"/>
        <v>23536.5</v>
      </c>
      <c r="N44" s="52">
        <f t="shared" si="7"/>
        <v>7750</v>
      </c>
      <c r="O44" s="20">
        <f t="shared" si="6"/>
        <v>47235.5</v>
      </c>
    </row>
    <row r="46" spans="2:17" ht="15.6" x14ac:dyDescent="0.3">
      <c r="B46" s="40"/>
    </row>
    <row r="47" spans="2:17" x14ac:dyDescent="0.3">
      <c r="B47" s="10" t="s">
        <v>481</v>
      </c>
      <c r="C47" s="9"/>
      <c r="D47" s="9"/>
      <c r="E47" s="9"/>
      <c r="F47" s="9"/>
      <c r="G47" s="9"/>
      <c r="H47" s="9"/>
      <c r="I47" s="9">
        <v>300</v>
      </c>
      <c r="J47" s="9"/>
      <c r="K47" s="9"/>
      <c r="L47" s="9"/>
      <c r="M47" s="9"/>
      <c r="N47" s="46">
        <v>300</v>
      </c>
      <c r="O47" s="20">
        <f>C47+D47+E47+F47+G47+H47+I47+J47+K47+L47+M47+N47</f>
        <v>600</v>
      </c>
      <c r="P47" t="s">
        <v>482</v>
      </c>
      <c r="Q47">
        <v>300</v>
      </c>
    </row>
    <row r="48" spans="2:17" x14ac:dyDescent="0.3">
      <c r="B48" s="10" t="s">
        <v>446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>
        <v>7200</v>
      </c>
      <c r="N48" s="9"/>
      <c r="O48" s="20">
        <f t="shared" ref="O48:O51" si="8">C48+D48+E48+F48+G48+H48+I48+J48+K48+L48+M48+N48</f>
        <v>7200</v>
      </c>
      <c r="P48" t="s">
        <v>482</v>
      </c>
      <c r="Q48">
        <v>2400</v>
      </c>
    </row>
    <row r="49" spans="2:17" x14ac:dyDescent="0.3">
      <c r="B49" s="10" t="s">
        <v>447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>
        <v>1600</v>
      </c>
      <c r="N49" s="9">
        <f>1300+1300+500</f>
        <v>3100</v>
      </c>
      <c r="O49" s="20">
        <f t="shared" si="8"/>
        <v>4700</v>
      </c>
    </row>
    <row r="50" spans="2:17" x14ac:dyDescent="0.3">
      <c r="B50" s="10" t="s">
        <v>479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46">
        <f>1000+1000+500+1000</f>
        <v>3500</v>
      </c>
      <c r="O50" s="20">
        <f t="shared" si="8"/>
        <v>3500</v>
      </c>
      <c r="P50" t="s">
        <v>482</v>
      </c>
      <c r="Q50">
        <v>1000</v>
      </c>
    </row>
    <row r="51" spans="2:17" x14ac:dyDescent="0.3"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20">
        <f t="shared" si="8"/>
        <v>0</v>
      </c>
    </row>
    <row r="52" spans="2:17" x14ac:dyDescent="0.3">
      <c r="C52" s="2">
        <f t="shared" ref="C52:O52" si="9">SUM(C47:C51)</f>
        <v>0</v>
      </c>
      <c r="D52" s="2">
        <f t="shared" si="9"/>
        <v>0</v>
      </c>
      <c r="E52" s="2">
        <f t="shared" si="9"/>
        <v>0</v>
      </c>
      <c r="F52" s="2">
        <f t="shared" si="9"/>
        <v>0</v>
      </c>
      <c r="G52" s="2">
        <f t="shared" si="9"/>
        <v>0</v>
      </c>
      <c r="H52" s="2">
        <f t="shared" si="9"/>
        <v>0</v>
      </c>
      <c r="I52" s="2">
        <f t="shared" si="9"/>
        <v>300</v>
      </c>
      <c r="J52" s="2">
        <f t="shared" si="9"/>
        <v>0</v>
      </c>
      <c r="K52" s="2">
        <f t="shared" si="9"/>
        <v>0</v>
      </c>
      <c r="L52" s="2">
        <f t="shared" si="9"/>
        <v>0</v>
      </c>
      <c r="M52" s="2">
        <f t="shared" si="9"/>
        <v>8800</v>
      </c>
      <c r="N52" s="2">
        <f t="shared" si="9"/>
        <v>6900</v>
      </c>
      <c r="O52" s="2">
        <f t="shared" si="9"/>
        <v>16000</v>
      </c>
    </row>
    <row r="53" spans="2:17" ht="15.6" x14ac:dyDescent="0.3">
      <c r="B53" s="40"/>
    </row>
    <row r="54" spans="2:17" ht="15.6" x14ac:dyDescent="0.3">
      <c r="B54" s="40"/>
    </row>
    <row r="55" spans="2:17" x14ac:dyDescent="0.3">
      <c r="B55" s="10" t="s">
        <v>478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>
        <f>8254.49+8241.29</f>
        <v>16495.78</v>
      </c>
      <c r="O55" s="20">
        <f>C55+D55+E55+F55+G55+H55+I55+J55+K55+L55+M55+N55</f>
        <v>16495.78</v>
      </c>
    </row>
    <row r="56" spans="2:17" x14ac:dyDescent="0.3"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20">
        <f t="shared" ref="O56:O60" si="10">C56+D56+E56+F56+G56+H56+I56+J56+K56+L56+M56+N56</f>
        <v>0</v>
      </c>
    </row>
    <row r="57" spans="2:17" x14ac:dyDescent="0.3"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20">
        <f t="shared" si="10"/>
        <v>0</v>
      </c>
    </row>
    <row r="58" spans="2:17" x14ac:dyDescent="0.3"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20">
        <f t="shared" si="10"/>
        <v>0</v>
      </c>
    </row>
    <row r="59" spans="2:17" x14ac:dyDescent="0.3"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20">
        <f t="shared" si="10"/>
        <v>0</v>
      </c>
    </row>
    <row r="60" spans="2:17" x14ac:dyDescent="0.3">
      <c r="C60" s="2">
        <f>SUM(C55:C59)</f>
        <v>0</v>
      </c>
      <c r="D60" s="2">
        <f t="shared" ref="D60:N60" si="11">SUM(D55:D59)</f>
        <v>0</v>
      </c>
      <c r="E60" s="2">
        <f t="shared" si="11"/>
        <v>0</v>
      </c>
      <c r="F60" s="2">
        <f t="shared" si="11"/>
        <v>0</v>
      </c>
      <c r="G60" s="2">
        <f t="shared" si="11"/>
        <v>0</v>
      </c>
      <c r="H60" s="2">
        <f t="shared" si="11"/>
        <v>0</v>
      </c>
      <c r="I60" s="2">
        <f t="shared" si="11"/>
        <v>0</v>
      </c>
      <c r="J60" s="2">
        <f t="shared" si="11"/>
        <v>0</v>
      </c>
      <c r="K60" s="2">
        <f t="shared" si="11"/>
        <v>0</v>
      </c>
      <c r="L60" s="2">
        <f t="shared" si="11"/>
        <v>0</v>
      </c>
      <c r="M60" s="2">
        <f t="shared" si="11"/>
        <v>0</v>
      </c>
      <c r="N60" s="2">
        <f t="shared" si="11"/>
        <v>16495.78</v>
      </c>
      <c r="O60" s="3">
        <f t="shared" si="10"/>
        <v>16495.78</v>
      </c>
    </row>
    <row r="63" spans="2:17" x14ac:dyDescent="0.3"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20">
        <f>C63+D63+E63+F63+G63+H63+I63+J63+K63+L63+M63+N63</f>
        <v>0</v>
      </c>
    </row>
    <row r="64" spans="2:17" x14ac:dyDescent="0.3"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20">
        <f t="shared" ref="O64:O68" si="12">C64+D64+E64+F64+G64+H64+I64+J64+K64+L64+M64+N64</f>
        <v>0</v>
      </c>
    </row>
    <row r="65" spans="2:15" x14ac:dyDescent="0.3"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20">
        <f t="shared" si="12"/>
        <v>0</v>
      </c>
    </row>
    <row r="66" spans="2:15" x14ac:dyDescent="0.3"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20">
        <f t="shared" si="12"/>
        <v>0</v>
      </c>
    </row>
    <row r="67" spans="2:15" x14ac:dyDescent="0.3"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20">
        <f t="shared" si="12"/>
        <v>0</v>
      </c>
    </row>
    <row r="68" spans="2:15" x14ac:dyDescent="0.3">
      <c r="C68" s="2"/>
      <c r="D68" s="2">
        <f t="shared" ref="D68:N68" si="13">SUM(D63:D67)</f>
        <v>0</v>
      </c>
      <c r="E68" s="2">
        <f t="shared" si="13"/>
        <v>0</v>
      </c>
      <c r="F68" s="2">
        <f t="shared" si="13"/>
        <v>0</v>
      </c>
      <c r="G68" s="2">
        <f t="shared" si="13"/>
        <v>0</v>
      </c>
      <c r="H68" s="2">
        <f t="shared" si="13"/>
        <v>0</v>
      </c>
      <c r="I68" s="2">
        <f t="shared" si="13"/>
        <v>0</v>
      </c>
      <c r="J68" s="2">
        <f t="shared" si="13"/>
        <v>0</v>
      </c>
      <c r="K68" s="2">
        <f t="shared" si="13"/>
        <v>0</v>
      </c>
      <c r="L68" s="2">
        <f t="shared" si="13"/>
        <v>0</v>
      </c>
      <c r="M68" s="2">
        <f t="shared" si="13"/>
        <v>0</v>
      </c>
      <c r="N68" s="2">
        <f t="shared" si="13"/>
        <v>0</v>
      </c>
      <c r="O68" s="3">
        <f t="shared" si="12"/>
        <v>0</v>
      </c>
    </row>
    <row r="71" spans="2:15" x14ac:dyDescent="0.3">
      <c r="B71" s="10"/>
      <c r="C71" s="9"/>
      <c r="D71" s="9"/>
      <c r="E71" s="9"/>
      <c r="F71" s="9"/>
      <c r="G71" s="9"/>
      <c r="H71" s="9"/>
      <c r="I71" s="9"/>
      <c r="J71" s="9"/>
      <c r="K71" s="9">
        <v>0</v>
      </c>
      <c r="L71" s="9"/>
      <c r="M71" s="9"/>
      <c r="N71" s="9"/>
      <c r="O71" s="20">
        <f>C71+D71+E71+F71+G71+H71+I71+J71+K71+L71+M71+N71</f>
        <v>0</v>
      </c>
    </row>
    <row r="72" spans="2:15" x14ac:dyDescent="0.3"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20">
        <f t="shared" ref="O72:O76" si="14">C72+D72+E72+F72+G72+H72+I72+J72+K72+L72+M72+N72</f>
        <v>0</v>
      </c>
    </row>
    <row r="73" spans="2:15" x14ac:dyDescent="0.3"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20">
        <f t="shared" si="14"/>
        <v>0</v>
      </c>
    </row>
    <row r="74" spans="2:15" x14ac:dyDescent="0.3"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20">
        <f t="shared" si="14"/>
        <v>0</v>
      </c>
    </row>
    <row r="75" spans="2:15" x14ac:dyDescent="0.3"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20">
        <f t="shared" si="14"/>
        <v>0</v>
      </c>
    </row>
    <row r="76" spans="2:15" x14ac:dyDescent="0.3">
      <c r="C76" s="2">
        <f>SUM(C71:C75)</f>
        <v>0</v>
      </c>
      <c r="D76" s="2">
        <f t="shared" ref="D76:N76" si="15">SUM(D71:D75)</f>
        <v>0</v>
      </c>
      <c r="E76" s="2">
        <f t="shared" si="15"/>
        <v>0</v>
      </c>
      <c r="F76" s="2">
        <f t="shared" si="15"/>
        <v>0</v>
      </c>
      <c r="G76" s="2">
        <f t="shared" si="15"/>
        <v>0</v>
      </c>
      <c r="H76" s="2">
        <f t="shared" si="15"/>
        <v>0</v>
      </c>
      <c r="I76" s="2">
        <f t="shared" si="15"/>
        <v>0</v>
      </c>
      <c r="J76" s="2">
        <f t="shared" si="15"/>
        <v>0</v>
      </c>
      <c r="K76" s="2">
        <f t="shared" si="15"/>
        <v>0</v>
      </c>
      <c r="L76" s="2">
        <f t="shared" si="15"/>
        <v>0</v>
      </c>
      <c r="M76" s="2">
        <f t="shared" si="15"/>
        <v>0</v>
      </c>
      <c r="N76" s="2">
        <f t="shared" si="15"/>
        <v>0</v>
      </c>
      <c r="O76" s="3">
        <f t="shared" si="14"/>
        <v>0</v>
      </c>
    </row>
    <row r="79" spans="2:15" x14ac:dyDescent="0.3">
      <c r="B79" s="115" t="s">
        <v>161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20">
        <f>C79+D79+E79+F79+G79+H79+I79+J79+K79+L79+M79+N79</f>
        <v>0</v>
      </c>
    </row>
    <row r="80" spans="2:15" x14ac:dyDescent="0.3">
      <c r="B80" s="10" t="s">
        <v>156</v>
      </c>
      <c r="C80" s="9"/>
      <c r="D80" s="9"/>
      <c r="E80" s="9">
        <v>200</v>
      </c>
      <c r="F80" s="9"/>
      <c r="G80" s="9"/>
      <c r="H80" s="9"/>
      <c r="I80" s="9"/>
      <c r="J80" s="9"/>
      <c r="K80" s="9"/>
      <c r="L80" s="9">
        <f>40000+6000</f>
        <v>46000</v>
      </c>
      <c r="M80" s="9"/>
      <c r="N80" s="9">
        <v>20000</v>
      </c>
      <c r="O80" s="20">
        <f>C80+D80+E80+F80+G80+H80+I80+J80+K80+L80+M80+N80</f>
        <v>66200</v>
      </c>
    </row>
    <row r="81" spans="1:15" x14ac:dyDescent="0.3">
      <c r="B81" s="10" t="s">
        <v>162</v>
      </c>
      <c r="C81" s="9"/>
      <c r="D81" s="9">
        <v>300</v>
      </c>
      <c r="E81" s="9"/>
      <c r="F81" s="9"/>
      <c r="G81" s="9">
        <v>300</v>
      </c>
      <c r="H81" s="9"/>
      <c r="I81" s="9"/>
      <c r="J81" s="9"/>
      <c r="K81" s="9"/>
      <c r="L81" s="9"/>
      <c r="M81" s="9"/>
      <c r="N81" s="9"/>
      <c r="O81" s="20">
        <f>C81+D81+E81+F81+G81+H81+I81+J81+K81+L81+M81+N81</f>
        <v>600</v>
      </c>
    </row>
    <row r="82" spans="1:15" x14ac:dyDescent="0.3">
      <c r="B82" s="10" t="s">
        <v>163</v>
      </c>
      <c r="C82" s="9"/>
      <c r="D82" s="46">
        <v>250</v>
      </c>
      <c r="E82" s="46">
        <v>230</v>
      </c>
      <c r="F82" s="9"/>
      <c r="G82" s="9"/>
      <c r="H82" s="9"/>
      <c r="I82" s="9"/>
      <c r="J82" s="9"/>
      <c r="K82" s="9"/>
      <c r="L82" s="9"/>
      <c r="M82" s="9"/>
      <c r="N82" s="9"/>
      <c r="O82" s="20">
        <f t="shared" ref="O82:O89" si="16">C82+D82+E82+F82+G82+H82+I82+J82+K82+L82+M82+N82</f>
        <v>480</v>
      </c>
    </row>
    <row r="83" spans="1:15" x14ac:dyDescent="0.3">
      <c r="B83" s="10" t="s">
        <v>164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>
        <v>5300</v>
      </c>
      <c r="O83" s="20">
        <f t="shared" si="16"/>
        <v>5300</v>
      </c>
    </row>
    <row r="84" spans="1:15" x14ac:dyDescent="0.3">
      <c r="B84" s="10" t="s">
        <v>265</v>
      </c>
      <c r="C84" s="9">
        <v>60000</v>
      </c>
      <c r="D84" s="9">
        <v>46000</v>
      </c>
      <c r="E84" s="9">
        <f>4000+3000+14000+2500+1500</f>
        <v>25000</v>
      </c>
      <c r="F84" s="9">
        <f>25000+1600</f>
        <v>26600</v>
      </c>
      <c r="G84" s="9"/>
      <c r="H84" s="9">
        <f>10540+32500</f>
        <v>43040</v>
      </c>
      <c r="I84" s="9">
        <v>20000</v>
      </c>
      <c r="J84" s="9"/>
      <c r="K84" s="9"/>
      <c r="L84" s="9"/>
      <c r="M84" s="9"/>
      <c r="N84" s="9">
        <v>38460</v>
      </c>
      <c r="O84" s="20">
        <f t="shared" si="16"/>
        <v>259100</v>
      </c>
    </row>
    <row r="85" spans="1:15" x14ac:dyDescent="0.3">
      <c r="B85" s="10" t="s">
        <v>165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20">
        <f t="shared" si="16"/>
        <v>0</v>
      </c>
    </row>
    <row r="86" spans="1:15" x14ac:dyDescent="0.3">
      <c r="B86" s="112" t="s">
        <v>183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20">
        <f t="shared" si="16"/>
        <v>0</v>
      </c>
    </row>
    <row r="87" spans="1:15" x14ac:dyDescent="0.3">
      <c r="B87" s="53" t="s">
        <v>185</v>
      </c>
      <c r="C87" s="9"/>
      <c r="D87" s="9"/>
      <c r="E87" s="9">
        <v>0</v>
      </c>
      <c r="F87" s="9">
        <v>900</v>
      </c>
      <c r="G87" s="9"/>
      <c r="H87" s="9">
        <v>300</v>
      </c>
      <c r="I87" s="9"/>
      <c r="J87" s="9">
        <v>100</v>
      </c>
      <c r="K87" s="9"/>
      <c r="L87" s="9">
        <v>100</v>
      </c>
      <c r="M87" s="9"/>
      <c r="N87" s="9"/>
      <c r="O87" s="20">
        <f>C87+D87+E87+F87+G87+H87+I87+J87+K87+L87+M87+N87</f>
        <v>1400</v>
      </c>
    </row>
    <row r="88" spans="1:15" x14ac:dyDescent="0.3">
      <c r="A88" s="119"/>
      <c r="B88" s="53" t="s">
        <v>209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20">
        <f t="shared" si="16"/>
        <v>0</v>
      </c>
    </row>
    <row r="89" spans="1:15" x14ac:dyDescent="0.3">
      <c r="A89" s="119"/>
      <c r="B89" s="53" t="s">
        <v>210</v>
      </c>
      <c r="C89" s="9">
        <v>275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20">
        <f t="shared" si="16"/>
        <v>275</v>
      </c>
    </row>
    <row r="90" spans="1:15" x14ac:dyDescent="0.3">
      <c r="C90" s="52">
        <f>SUM(C79:C89)</f>
        <v>60275</v>
      </c>
      <c r="D90" s="52">
        <f t="shared" ref="D90:O90" si="17">SUM(D79:D89)</f>
        <v>46550</v>
      </c>
      <c r="E90" s="52">
        <f t="shared" si="17"/>
        <v>25430</v>
      </c>
      <c r="F90" s="52">
        <f t="shared" si="17"/>
        <v>27500</v>
      </c>
      <c r="G90" s="52">
        <f t="shared" si="17"/>
        <v>300</v>
      </c>
      <c r="H90" s="52">
        <f t="shared" si="17"/>
        <v>43340</v>
      </c>
      <c r="I90" s="52">
        <f t="shared" si="17"/>
        <v>20000</v>
      </c>
      <c r="J90" s="52">
        <f t="shared" si="17"/>
        <v>100</v>
      </c>
      <c r="K90" s="52">
        <f t="shared" si="17"/>
        <v>0</v>
      </c>
      <c r="L90" s="52">
        <f t="shared" si="17"/>
        <v>46100</v>
      </c>
      <c r="M90" s="52">
        <f t="shared" si="17"/>
        <v>0</v>
      </c>
      <c r="N90" s="52">
        <f t="shared" si="17"/>
        <v>63760</v>
      </c>
      <c r="O90" s="52">
        <f t="shared" si="17"/>
        <v>333355</v>
      </c>
    </row>
    <row r="93" spans="1:15" x14ac:dyDescent="0.3">
      <c r="B93" s="10" t="s">
        <v>186</v>
      </c>
      <c r="C93" s="9">
        <f>7212+1000</f>
        <v>8212</v>
      </c>
      <c r="D93" s="9">
        <f>1600+9635+7387+5360</f>
        <v>23982</v>
      </c>
      <c r="E93" s="9">
        <f>22600+9000+5000</f>
        <v>36600</v>
      </c>
      <c r="F93" s="9">
        <f>15400+10665</f>
        <v>26065</v>
      </c>
      <c r="G93" s="9"/>
      <c r="H93" s="9">
        <f>12360+34890</f>
        <v>47250</v>
      </c>
      <c r="I93" s="9">
        <f>1600+17000+2610</f>
        <v>21210</v>
      </c>
      <c r="J93" s="9">
        <v>1500</v>
      </c>
      <c r="K93" s="9">
        <f>14720+25000</f>
        <v>39720</v>
      </c>
      <c r="L93" s="9">
        <v>18000</v>
      </c>
      <c r="M93" s="9">
        <v>14000</v>
      </c>
      <c r="N93" s="9">
        <f>34880+14505+3890</f>
        <v>53275</v>
      </c>
      <c r="O93" s="20">
        <f>C93+D93+E93+F93+G93+H93+I93+J93+K93+L93+M93+N93</f>
        <v>289814</v>
      </c>
    </row>
    <row r="94" spans="1:15" x14ac:dyDescent="0.3">
      <c r="B94" s="10" t="s">
        <v>109</v>
      </c>
      <c r="C94" s="9">
        <v>231.2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20">
        <f t="shared" ref="O94:O95" si="18">C94+D94+E94+F94+G94+H94+I94+J94+K94+L94+M94+N94</f>
        <v>231.2</v>
      </c>
    </row>
    <row r="95" spans="1:15" x14ac:dyDescent="0.3">
      <c r="B95" s="10" t="s">
        <v>263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20">
        <f t="shared" si="18"/>
        <v>0</v>
      </c>
    </row>
    <row r="96" spans="1:15" x14ac:dyDescent="0.3">
      <c r="B96" s="10"/>
      <c r="C96" s="9">
        <f>SUM(C93:C95)</f>
        <v>8443.2000000000007</v>
      </c>
      <c r="D96" s="9">
        <f t="shared" ref="D96:O96" si="19">SUM(D93:D95)</f>
        <v>23982</v>
      </c>
      <c r="E96" s="9">
        <f t="shared" si="19"/>
        <v>36600</v>
      </c>
      <c r="F96" s="9">
        <f t="shared" si="19"/>
        <v>26065</v>
      </c>
      <c r="G96" s="9">
        <f t="shared" si="19"/>
        <v>0</v>
      </c>
      <c r="H96" s="9">
        <f t="shared" si="19"/>
        <v>47250</v>
      </c>
      <c r="I96" s="9">
        <f t="shared" si="19"/>
        <v>21210</v>
      </c>
      <c r="J96" s="9">
        <f t="shared" si="19"/>
        <v>1500</v>
      </c>
      <c r="K96" s="9">
        <f t="shared" si="19"/>
        <v>39720</v>
      </c>
      <c r="L96" s="9">
        <f t="shared" si="19"/>
        <v>18000</v>
      </c>
      <c r="M96" s="9">
        <f t="shared" si="19"/>
        <v>14000</v>
      </c>
      <c r="N96" s="9">
        <f t="shared" si="19"/>
        <v>53275</v>
      </c>
      <c r="O96" s="9">
        <f t="shared" si="19"/>
        <v>290045.2</v>
      </c>
    </row>
    <row r="97" spans="2:15" x14ac:dyDescent="0.3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</row>
    <row r="100" spans="2:15" x14ac:dyDescent="0.3"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20">
        <f>C100+D100+E100+F100+G100+H100+I100+J100+K100+L100+M100+N100</f>
        <v>0</v>
      </c>
    </row>
    <row r="101" spans="2:15" x14ac:dyDescent="0.3"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20">
        <f t="shared" ref="O101:O104" si="20">C101+D101+E101+F101+G101+H101+I101+J101+K101+L101+M101+N101</f>
        <v>0</v>
      </c>
    </row>
    <row r="102" spans="2:15" x14ac:dyDescent="0.3"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20">
        <f t="shared" si="20"/>
        <v>0</v>
      </c>
    </row>
    <row r="103" spans="2:15" x14ac:dyDescent="0.3"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20">
        <f t="shared" si="20"/>
        <v>0</v>
      </c>
    </row>
    <row r="104" spans="2:15" x14ac:dyDescent="0.3"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20">
        <f t="shared" si="20"/>
        <v>0</v>
      </c>
    </row>
    <row r="105" spans="2:15" x14ac:dyDescent="0.3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</row>
    <row r="108" spans="2:15" x14ac:dyDescent="0.3">
      <c r="C108" s="2">
        <f>+C15+C22+C29+C44+C90-C84+C93+C94+C95+C52</f>
        <v>9778.2000000000007</v>
      </c>
      <c r="D108" s="2">
        <f>+D15+D22+D29+D44+D90-P84+D93+D94+D95+D52</f>
        <v>71450</v>
      </c>
      <c r="E108" s="2">
        <f>+E15+E22+E29+E44+E90-Q84+E93+E94+E95+E52</f>
        <v>69791</v>
      </c>
      <c r="F108" s="2">
        <f t="shared" ref="F108:M108" si="21">+F15+F22+F29+F44+F90-R84+F93+F94+F95+F52</f>
        <v>55485</v>
      </c>
      <c r="G108" s="2">
        <f t="shared" si="21"/>
        <v>7750</v>
      </c>
      <c r="H108" s="2">
        <f t="shared" si="21"/>
        <v>98330</v>
      </c>
      <c r="I108" s="2">
        <f t="shared" si="21"/>
        <v>44210</v>
      </c>
      <c r="J108" s="2">
        <f t="shared" si="21"/>
        <v>2900</v>
      </c>
      <c r="K108" s="2">
        <f t="shared" si="21"/>
        <v>42220</v>
      </c>
      <c r="L108" s="2">
        <f t="shared" si="21"/>
        <v>65100</v>
      </c>
      <c r="M108" s="2">
        <f t="shared" si="21"/>
        <v>48536.5</v>
      </c>
      <c r="N108" s="2">
        <f>+N15+N22+N29+N44+N90-Z84+N93+N94+N95+N52+N60+N68+N76</f>
        <v>149480.78</v>
      </c>
      <c r="O108" s="2">
        <f>+O15+O22+O29+O44+O90+O93+O94+O95</f>
        <v>692535.7</v>
      </c>
    </row>
  </sheetData>
  <mergeCells count="6">
    <mergeCell ref="A1:O1"/>
    <mergeCell ref="A2:O2"/>
    <mergeCell ref="A4:O4"/>
    <mergeCell ref="A5:O5"/>
    <mergeCell ref="A6:O6"/>
    <mergeCell ref="A3:O3"/>
  </mergeCells>
  <pageMargins left="0.7" right="0.7" top="0.75" bottom="0.75" header="0.3" footer="0.3"/>
  <pageSetup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26" sqref="H26"/>
    </sheetView>
  </sheetViews>
  <sheetFormatPr defaultColWidth="8.88671875" defaultRowHeight="14.4" x14ac:dyDescent="0.3"/>
  <cols>
    <col min="1" max="1" width="8.88671875" style="5"/>
    <col min="2" max="2" width="33" customWidth="1"/>
    <col min="3" max="3" width="9.44140625" style="1" bestFit="1" customWidth="1"/>
    <col min="4" max="13" width="8.88671875" style="1"/>
    <col min="14" max="15" width="9.44140625" style="1" bestFit="1" customWidth="1"/>
    <col min="16" max="17" width="8.88671875" style="1"/>
    <col min="18" max="18" width="9.44140625" style="1" bestFit="1" customWidth="1"/>
    <col min="19" max="25" width="8.88671875" style="1"/>
    <col min="26" max="26" width="9.44140625" style="1" bestFit="1" customWidth="1"/>
    <col min="27" max="27" width="11.44140625" customWidth="1"/>
    <col min="28" max="28" width="16.109375" style="1" customWidth="1"/>
    <col min="29" max="29" width="12.33203125" style="1" customWidth="1"/>
  </cols>
  <sheetData>
    <row r="1" spans="1:29" ht="15.6" x14ac:dyDescent="0.3">
      <c r="B1" s="11" t="s">
        <v>0</v>
      </c>
      <c r="C1" s="13"/>
      <c r="D1" s="13"/>
    </row>
    <row r="2" spans="1:29" ht="15.6" x14ac:dyDescent="0.3">
      <c r="B2" s="12" t="s">
        <v>1</v>
      </c>
      <c r="C2" s="14"/>
      <c r="D2" s="14"/>
    </row>
    <row r="3" spans="1:29" ht="15.6" x14ac:dyDescent="0.3">
      <c r="B3" s="12" t="s">
        <v>2</v>
      </c>
      <c r="C3" s="14"/>
      <c r="D3" s="14"/>
    </row>
    <row r="4" spans="1:29" x14ac:dyDescent="0.3">
      <c r="B4" t="s">
        <v>32</v>
      </c>
      <c r="C4" s="1">
        <v>2016</v>
      </c>
      <c r="N4" s="1">
        <v>2017</v>
      </c>
      <c r="O4" s="1">
        <v>2017</v>
      </c>
      <c r="R4" s="1">
        <v>2018</v>
      </c>
      <c r="Z4" s="1">
        <v>2018</v>
      </c>
    </row>
    <row r="5" spans="1:29" ht="27" x14ac:dyDescent="0.3">
      <c r="A5" s="5" t="s">
        <v>33</v>
      </c>
      <c r="B5" s="4" t="s">
        <v>34</v>
      </c>
      <c r="C5" s="8" t="s">
        <v>19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8" t="s">
        <v>27</v>
      </c>
      <c r="L5" s="8" t="s">
        <v>28</v>
      </c>
      <c r="M5" s="8" t="s">
        <v>29</v>
      </c>
      <c r="N5" s="8" t="s">
        <v>30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8" t="s">
        <v>29</v>
      </c>
      <c r="Z5" s="8" t="s">
        <v>30</v>
      </c>
      <c r="AA5" s="8" t="s">
        <v>31</v>
      </c>
      <c r="AB5" s="47" t="s">
        <v>39</v>
      </c>
      <c r="AC5" s="8" t="s">
        <v>40</v>
      </c>
    </row>
    <row r="6" spans="1:29" ht="15.6" x14ac:dyDescent="0.3">
      <c r="B6" s="4"/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8" t="s">
        <v>4</v>
      </c>
      <c r="I6" s="8" t="s">
        <v>4</v>
      </c>
      <c r="J6" s="8" t="s">
        <v>4</v>
      </c>
      <c r="K6" s="8" t="s">
        <v>4</v>
      </c>
      <c r="L6" s="8" t="s">
        <v>4</v>
      </c>
      <c r="M6" s="8" t="s">
        <v>4</v>
      </c>
      <c r="N6" s="8" t="s">
        <v>4</v>
      </c>
      <c r="O6" s="8" t="s">
        <v>4</v>
      </c>
      <c r="P6" s="8" t="s">
        <v>4</v>
      </c>
      <c r="Q6" s="8" t="s">
        <v>4</v>
      </c>
      <c r="R6" s="8" t="s">
        <v>4</v>
      </c>
      <c r="S6" s="8" t="s">
        <v>4</v>
      </c>
      <c r="T6" s="8" t="s">
        <v>4</v>
      </c>
      <c r="U6" s="8" t="s">
        <v>4</v>
      </c>
      <c r="V6" s="8" t="s">
        <v>4</v>
      </c>
      <c r="W6" s="8" t="s">
        <v>4</v>
      </c>
      <c r="X6" s="8" t="s">
        <v>4</v>
      </c>
      <c r="Y6" s="8" t="s">
        <v>4</v>
      </c>
      <c r="Z6" s="8" t="s">
        <v>4</v>
      </c>
      <c r="AA6" s="8" t="s">
        <v>4</v>
      </c>
      <c r="AB6" s="8" t="s">
        <v>4</v>
      </c>
      <c r="AC6" s="8" t="s">
        <v>4</v>
      </c>
    </row>
    <row r="7" spans="1:29" x14ac:dyDescent="0.3">
      <c r="A7" s="5">
        <v>1</v>
      </c>
      <c r="B7" t="s">
        <v>41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>
        <v>5</v>
      </c>
      <c r="U7" s="1">
        <v>5</v>
      </c>
      <c r="V7" s="1">
        <v>5</v>
      </c>
      <c r="W7" s="1">
        <v>5</v>
      </c>
      <c r="X7" s="1">
        <v>5</v>
      </c>
      <c r="AA7" s="3">
        <f>C7+D7+E7+F7+G7+H7+I7+J7+K7+L7+M7+N7+O7+P7+Q7+R7+S7+T7+U7+V7+W7+X7+Y7+Z7</f>
        <v>110</v>
      </c>
      <c r="AB7" s="1">
        <f>5*12</f>
        <v>60</v>
      </c>
      <c r="AC7" s="1">
        <f>AB7-AA7</f>
        <v>-50</v>
      </c>
    </row>
    <row r="8" spans="1:29" x14ac:dyDescent="0.3">
      <c r="A8" s="5">
        <v>2</v>
      </c>
      <c r="B8" t="s">
        <v>42</v>
      </c>
      <c r="C8" s="1">
        <v>5</v>
      </c>
      <c r="AA8" s="3">
        <f t="shared" ref="AA8:AA71" si="0">C8+D8+E8+F8+G8+H8+I8+J8+K8+L8+M8+N8+O8+P8+Q8+R8+S8+T8+U8+V8+W8+X8+Y8+Z8</f>
        <v>5</v>
      </c>
      <c r="AB8" s="1">
        <f t="shared" ref="AB8:AB71" si="1">5*12</f>
        <v>60</v>
      </c>
      <c r="AC8" s="1">
        <f t="shared" ref="AC8:AC69" si="2">AB8-AA8</f>
        <v>55</v>
      </c>
    </row>
    <row r="9" spans="1:29" x14ac:dyDescent="0.3">
      <c r="A9" s="5">
        <v>3</v>
      </c>
      <c r="B9" t="s">
        <v>43</v>
      </c>
      <c r="J9" s="1">
        <v>5</v>
      </c>
      <c r="K9" s="1">
        <v>5</v>
      </c>
      <c r="AA9" s="3">
        <f t="shared" si="0"/>
        <v>10</v>
      </c>
      <c r="AB9" s="1">
        <f t="shared" si="1"/>
        <v>60</v>
      </c>
      <c r="AC9" s="1">
        <f t="shared" si="2"/>
        <v>50</v>
      </c>
    </row>
    <row r="10" spans="1:29" x14ac:dyDescent="0.3">
      <c r="A10" s="5">
        <v>4</v>
      </c>
      <c r="B10" t="s">
        <v>44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AA10" s="3">
        <f t="shared" si="0"/>
        <v>75</v>
      </c>
      <c r="AB10" s="1">
        <f t="shared" si="1"/>
        <v>60</v>
      </c>
      <c r="AC10" s="1">
        <f t="shared" si="2"/>
        <v>-15</v>
      </c>
    </row>
    <row r="11" spans="1:29" x14ac:dyDescent="0.3">
      <c r="A11" s="5">
        <v>5</v>
      </c>
      <c r="B11" t="s">
        <v>45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AA11" s="3">
        <f t="shared" si="0"/>
        <v>55</v>
      </c>
      <c r="AB11" s="1">
        <f t="shared" si="1"/>
        <v>60</v>
      </c>
      <c r="AC11" s="1">
        <f t="shared" si="2"/>
        <v>5</v>
      </c>
    </row>
    <row r="12" spans="1:29" x14ac:dyDescent="0.3">
      <c r="A12" s="5">
        <v>6</v>
      </c>
      <c r="B12" t="s">
        <v>46</v>
      </c>
      <c r="C12" s="48">
        <v>0</v>
      </c>
      <c r="D12" s="48">
        <v>0</v>
      </c>
      <c r="E12" s="48">
        <v>0</v>
      </c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5</v>
      </c>
      <c r="S12" s="1">
        <v>5</v>
      </c>
      <c r="T12" s="1">
        <v>5</v>
      </c>
      <c r="U12" s="1">
        <v>5</v>
      </c>
      <c r="V12" s="1">
        <v>5</v>
      </c>
      <c r="AA12" s="3">
        <f t="shared" si="0"/>
        <v>85</v>
      </c>
      <c r="AB12" s="1">
        <f>5*9</f>
        <v>45</v>
      </c>
      <c r="AC12" s="1">
        <f t="shared" si="2"/>
        <v>-40</v>
      </c>
    </row>
    <row r="13" spans="1:29" x14ac:dyDescent="0.3">
      <c r="A13" s="5">
        <v>7</v>
      </c>
      <c r="B13" t="s">
        <v>47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5</v>
      </c>
      <c r="AA13" s="3">
        <f t="shared" si="0"/>
        <v>85</v>
      </c>
      <c r="AB13" s="1">
        <f t="shared" si="1"/>
        <v>60</v>
      </c>
      <c r="AC13" s="1">
        <f t="shared" si="2"/>
        <v>-25</v>
      </c>
    </row>
    <row r="14" spans="1:29" x14ac:dyDescent="0.3">
      <c r="A14" s="5">
        <v>8</v>
      </c>
      <c r="B14" t="s">
        <v>48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5</v>
      </c>
      <c r="U14" s="1">
        <v>5</v>
      </c>
      <c r="AA14" s="3">
        <f t="shared" si="0"/>
        <v>95</v>
      </c>
      <c r="AB14" s="1">
        <f t="shared" si="1"/>
        <v>60</v>
      </c>
      <c r="AC14" s="1">
        <f t="shared" si="2"/>
        <v>-35</v>
      </c>
    </row>
    <row r="15" spans="1:29" x14ac:dyDescent="0.3">
      <c r="A15" s="5">
        <v>9</v>
      </c>
      <c r="B15" t="s">
        <v>49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v>5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AA15" s="3">
        <f t="shared" si="0"/>
        <v>85</v>
      </c>
      <c r="AB15" s="1">
        <f t="shared" si="1"/>
        <v>60</v>
      </c>
      <c r="AC15" s="1">
        <f t="shared" si="2"/>
        <v>-25</v>
      </c>
    </row>
    <row r="16" spans="1:29" x14ac:dyDescent="0.3">
      <c r="A16" s="5">
        <v>10</v>
      </c>
      <c r="B16" s="49" t="s">
        <v>50</v>
      </c>
      <c r="C16" s="48"/>
      <c r="D16" s="48"/>
      <c r="E16" s="48"/>
      <c r="F16" s="48"/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AA16" s="3">
        <f t="shared" si="0"/>
        <v>45</v>
      </c>
      <c r="AB16" s="1">
        <f>5*8</f>
        <v>40</v>
      </c>
      <c r="AC16" s="1">
        <f t="shared" si="2"/>
        <v>-5</v>
      </c>
    </row>
    <row r="17" spans="1:29" x14ac:dyDescent="0.3">
      <c r="A17" s="5">
        <v>11</v>
      </c>
      <c r="B17" t="s">
        <v>51</v>
      </c>
      <c r="C17" s="1">
        <v>5</v>
      </c>
      <c r="D17" s="1">
        <v>5</v>
      </c>
      <c r="E17" s="1">
        <v>5</v>
      </c>
      <c r="F17" s="1">
        <v>5</v>
      </c>
      <c r="G17" s="1">
        <v>5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  <c r="M17" s="1">
        <v>5</v>
      </c>
      <c r="N17" s="1">
        <v>5</v>
      </c>
      <c r="O17" s="1">
        <v>5</v>
      </c>
      <c r="P17" s="1">
        <v>5</v>
      </c>
      <c r="Q17" s="1">
        <v>5</v>
      </c>
      <c r="R17" s="1">
        <v>5</v>
      </c>
      <c r="AA17" s="3">
        <f t="shared" si="0"/>
        <v>80</v>
      </c>
      <c r="AB17" s="1">
        <f t="shared" si="1"/>
        <v>60</v>
      </c>
      <c r="AC17" s="1">
        <f t="shared" si="2"/>
        <v>-20</v>
      </c>
    </row>
    <row r="18" spans="1:29" x14ac:dyDescent="0.3">
      <c r="A18" s="5">
        <v>12</v>
      </c>
      <c r="B18" t="s">
        <v>52</v>
      </c>
      <c r="C18" s="1">
        <v>5</v>
      </c>
      <c r="D18" s="1">
        <v>5</v>
      </c>
      <c r="E18" s="1">
        <v>5</v>
      </c>
      <c r="F18" s="1">
        <v>5</v>
      </c>
      <c r="G18" s="1">
        <v>5</v>
      </c>
      <c r="H18" s="1">
        <v>5</v>
      </c>
      <c r="I18" s="1">
        <v>5</v>
      </c>
      <c r="J18" s="48">
        <v>5</v>
      </c>
      <c r="K18" s="1">
        <v>5</v>
      </c>
      <c r="L18" s="1">
        <v>5</v>
      </c>
      <c r="M18" s="1">
        <v>5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5</v>
      </c>
      <c r="U18" s="1">
        <v>5</v>
      </c>
      <c r="V18" s="1">
        <v>5</v>
      </c>
      <c r="W18" s="1">
        <v>5</v>
      </c>
      <c r="X18" s="1">
        <v>5</v>
      </c>
      <c r="AA18" s="3">
        <f t="shared" si="0"/>
        <v>110</v>
      </c>
      <c r="AB18" s="1">
        <f t="shared" si="1"/>
        <v>60</v>
      </c>
      <c r="AC18" s="1">
        <f t="shared" si="2"/>
        <v>-50</v>
      </c>
    </row>
    <row r="19" spans="1:29" x14ac:dyDescent="0.3">
      <c r="A19" s="5">
        <v>13</v>
      </c>
      <c r="B19" t="s">
        <v>53</v>
      </c>
      <c r="AA19" s="3">
        <f t="shared" si="0"/>
        <v>0</v>
      </c>
      <c r="AB19" s="1">
        <f t="shared" si="1"/>
        <v>60</v>
      </c>
      <c r="AC19" s="1">
        <f t="shared" si="2"/>
        <v>60</v>
      </c>
    </row>
    <row r="20" spans="1:29" x14ac:dyDescent="0.3">
      <c r="A20" s="5">
        <v>14</v>
      </c>
      <c r="B20" t="s">
        <v>54</v>
      </c>
      <c r="C20" s="1">
        <v>5</v>
      </c>
      <c r="D20" s="1">
        <v>5</v>
      </c>
      <c r="E20" s="1">
        <v>5</v>
      </c>
      <c r="F20" s="1">
        <v>5</v>
      </c>
      <c r="G20" s="1">
        <v>5</v>
      </c>
      <c r="H20" s="1">
        <v>5</v>
      </c>
      <c r="I20" s="1">
        <v>5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5</v>
      </c>
      <c r="P20" s="1">
        <v>5</v>
      </c>
      <c r="Q20" s="1">
        <v>5</v>
      </c>
      <c r="R20" s="1">
        <v>5</v>
      </c>
      <c r="S20" s="1">
        <v>5</v>
      </c>
      <c r="AA20" s="3">
        <f t="shared" si="0"/>
        <v>85</v>
      </c>
      <c r="AB20" s="1">
        <f t="shared" si="1"/>
        <v>60</v>
      </c>
      <c r="AC20" s="1">
        <f t="shared" si="2"/>
        <v>-25</v>
      </c>
    </row>
    <row r="21" spans="1:29" x14ac:dyDescent="0.3">
      <c r="A21" s="5">
        <v>15</v>
      </c>
      <c r="B21" t="s">
        <v>55</v>
      </c>
      <c r="AA21" s="3">
        <f t="shared" si="0"/>
        <v>0</v>
      </c>
      <c r="AB21" s="1">
        <f t="shared" si="1"/>
        <v>60</v>
      </c>
      <c r="AC21" s="1">
        <f t="shared" si="2"/>
        <v>60</v>
      </c>
    </row>
    <row r="22" spans="1:29" x14ac:dyDescent="0.3">
      <c r="A22" s="5">
        <v>16</v>
      </c>
      <c r="B22" t="s">
        <v>56</v>
      </c>
      <c r="C22" s="1">
        <v>5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5</v>
      </c>
      <c r="Q22" s="1">
        <v>5</v>
      </c>
      <c r="AA22" s="3">
        <f t="shared" si="0"/>
        <v>75</v>
      </c>
      <c r="AB22" s="1">
        <f t="shared" si="1"/>
        <v>60</v>
      </c>
      <c r="AC22" s="1">
        <f t="shared" si="2"/>
        <v>-15</v>
      </c>
    </row>
    <row r="23" spans="1:29" x14ac:dyDescent="0.3">
      <c r="A23" s="5">
        <v>17</v>
      </c>
      <c r="B23" t="s">
        <v>57</v>
      </c>
      <c r="C23" s="1">
        <v>5</v>
      </c>
      <c r="D23" s="1">
        <v>5</v>
      </c>
      <c r="E23" s="1">
        <v>5</v>
      </c>
      <c r="F23" s="1">
        <v>5</v>
      </c>
      <c r="G23" s="1">
        <v>5</v>
      </c>
      <c r="H23" s="1">
        <v>5</v>
      </c>
      <c r="I23" s="1">
        <v>5</v>
      </c>
      <c r="J23" s="1">
        <v>5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AA23" s="3">
        <f t="shared" si="0"/>
        <v>70</v>
      </c>
      <c r="AB23" s="1">
        <f t="shared" si="1"/>
        <v>60</v>
      </c>
      <c r="AC23" s="1">
        <f t="shared" si="2"/>
        <v>-10</v>
      </c>
    </row>
    <row r="24" spans="1:29" x14ac:dyDescent="0.3">
      <c r="A24" s="5">
        <v>18</v>
      </c>
      <c r="B24" t="s">
        <v>58</v>
      </c>
      <c r="AA24" s="3">
        <f t="shared" si="0"/>
        <v>0</v>
      </c>
      <c r="AB24" s="1">
        <f t="shared" si="1"/>
        <v>60</v>
      </c>
      <c r="AC24" s="1">
        <f t="shared" si="2"/>
        <v>60</v>
      </c>
    </row>
    <row r="25" spans="1:29" x14ac:dyDescent="0.3">
      <c r="A25" s="5">
        <v>19</v>
      </c>
      <c r="B25" t="s">
        <v>59</v>
      </c>
      <c r="AA25" s="3">
        <f t="shared" si="0"/>
        <v>0</v>
      </c>
      <c r="AB25" s="1">
        <f t="shared" si="1"/>
        <v>60</v>
      </c>
      <c r="AC25" s="1">
        <f t="shared" si="2"/>
        <v>60</v>
      </c>
    </row>
    <row r="26" spans="1:29" x14ac:dyDescent="0.3">
      <c r="A26" s="5">
        <v>20</v>
      </c>
      <c r="B26" t="s">
        <v>60</v>
      </c>
      <c r="C26" s="1">
        <v>5</v>
      </c>
      <c r="D26" s="1">
        <v>5</v>
      </c>
      <c r="E26" s="1">
        <v>5</v>
      </c>
      <c r="F26" s="1">
        <v>5</v>
      </c>
      <c r="G26" s="1">
        <v>5</v>
      </c>
      <c r="H26" s="1">
        <v>5</v>
      </c>
      <c r="I26" s="1">
        <v>5</v>
      </c>
      <c r="AA26" s="3">
        <f t="shared" si="0"/>
        <v>35</v>
      </c>
      <c r="AB26" s="1">
        <f t="shared" si="1"/>
        <v>60</v>
      </c>
      <c r="AC26" s="1">
        <f t="shared" si="2"/>
        <v>25</v>
      </c>
    </row>
    <row r="27" spans="1:29" x14ac:dyDescent="0.3">
      <c r="A27" s="5">
        <v>21</v>
      </c>
      <c r="B27" t="s">
        <v>61</v>
      </c>
      <c r="AA27" s="3">
        <f t="shared" si="0"/>
        <v>0</v>
      </c>
      <c r="AB27" s="1">
        <f t="shared" si="1"/>
        <v>60</v>
      </c>
      <c r="AC27" s="1">
        <f t="shared" si="2"/>
        <v>60</v>
      </c>
    </row>
    <row r="28" spans="1:29" x14ac:dyDescent="0.3">
      <c r="A28" s="5">
        <v>22</v>
      </c>
      <c r="B28" t="s">
        <v>62</v>
      </c>
      <c r="AA28" s="3">
        <f t="shared" si="0"/>
        <v>0</v>
      </c>
      <c r="AB28" s="1">
        <f t="shared" si="1"/>
        <v>60</v>
      </c>
      <c r="AC28" s="1">
        <f t="shared" si="2"/>
        <v>60</v>
      </c>
    </row>
    <row r="29" spans="1:29" x14ac:dyDescent="0.3">
      <c r="A29" s="5">
        <v>23</v>
      </c>
      <c r="B29" t="s">
        <v>63</v>
      </c>
      <c r="AA29" s="3">
        <f t="shared" si="0"/>
        <v>0</v>
      </c>
      <c r="AB29" s="1">
        <f t="shared" si="1"/>
        <v>60</v>
      </c>
      <c r="AC29" s="1">
        <f t="shared" si="2"/>
        <v>60</v>
      </c>
    </row>
    <row r="30" spans="1:29" x14ac:dyDescent="0.3">
      <c r="A30" s="5">
        <v>24</v>
      </c>
      <c r="B30" t="s">
        <v>64</v>
      </c>
      <c r="C30" s="1">
        <v>5</v>
      </c>
      <c r="D30" s="1">
        <v>5</v>
      </c>
      <c r="E30" s="1">
        <v>5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5</v>
      </c>
      <c r="P30" s="1">
        <v>5</v>
      </c>
      <c r="AA30" s="3">
        <f t="shared" si="0"/>
        <v>70</v>
      </c>
      <c r="AB30" s="1">
        <f t="shared" si="1"/>
        <v>60</v>
      </c>
      <c r="AC30" s="1">
        <f t="shared" si="2"/>
        <v>-10</v>
      </c>
    </row>
    <row r="31" spans="1:29" x14ac:dyDescent="0.3">
      <c r="A31" s="5">
        <v>25</v>
      </c>
      <c r="B31" t="s">
        <v>65</v>
      </c>
      <c r="C31" s="1">
        <v>5</v>
      </c>
      <c r="D31" s="1">
        <v>5</v>
      </c>
      <c r="E31" s="1">
        <v>5</v>
      </c>
      <c r="F31" s="1">
        <v>5</v>
      </c>
      <c r="G31" s="1">
        <v>5</v>
      </c>
      <c r="H31" s="1">
        <v>5</v>
      </c>
      <c r="I31" s="1">
        <v>5</v>
      </c>
      <c r="J31" s="1">
        <v>5</v>
      </c>
      <c r="K31" s="1">
        <v>5</v>
      </c>
      <c r="L31" s="1">
        <v>5</v>
      </c>
      <c r="M31" s="1">
        <v>5</v>
      </c>
      <c r="N31" s="1">
        <v>5</v>
      </c>
      <c r="O31" s="1">
        <v>5</v>
      </c>
      <c r="P31" s="1">
        <v>5</v>
      </c>
      <c r="Q31" s="1">
        <v>5</v>
      </c>
      <c r="R31" s="1">
        <v>5</v>
      </c>
      <c r="AA31" s="3">
        <f t="shared" si="0"/>
        <v>80</v>
      </c>
      <c r="AB31" s="1">
        <f t="shared" si="1"/>
        <v>60</v>
      </c>
      <c r="AC31" s="1">
        <f t="shared" si="2"/>
        <v>-20</v>
      </c>
    </row>
    <row r="32" spans="1:29" x14ac:dyDescent="0.3">
      <c r="A32" s="5">
        <v>26</v>
      </c>
      <c r="B32" t="s">
        <v>66</v>
      </c>
      <c r="C32" s="1">
        <v>5</v>
      </c>
      <c r="D32" s="1">
        <v>5</v>
      </c>
      <c r="E32" s="1">
        <v>5</v>
      </c>
      <c r="F32" s="1">
        <v>5</v>
      </c>
      <c r="G32" s="1">
        <v>5</v>
      </c>
      <c r="H32" s="1">
        <v>5</v>
      </c>
      <c r="I32" s="1">
        <v>5</v>
      </c>
      <c r="J32" s="1">
        <v>5</v>
      </c>
      <c r="K32" s="1">
        <v>5</v>
      </c>
      <c r="L32" s="1">
        <v>5</v>
      </c>
      <c r="M32" s="1">
        <v>5</v>
      </c>
      <c r="N32" s="1">
        <v>5</v>
      </c>
      <c r="AA32" s="3">
        <f t="shared" si="0"/>
        <v>60</v>
      </c>
      <c r="AB32" s="1">
        <f t="shared" si="1"/>
        <v>60</v>
      </c>
      <c r="AC32" s="1">
        <f t="shared" si="2"/>
        <v>0</v>
      </c>
    </row>
    <row r="33" spans="1:29" x14ac:dyDescent="0.3">
      <c r="A33" s="5">
        <v>27</v>
      </c>
      <c r="B33" t="s">
        <v>67</v>
      </c>
      <c r="C33" s="1">
        <v>5</v>
      </c>
      <c r="D33" s="1">
        <v>5</v>
      </c>
      <c r="E33" s="1">
        <v>5</v>
      </c>
      <c r="F33" s="1">
        <v>5</v>
      </c>
      <c r="G33" s="1">
        <v>5</v>
      </c>
      <c r="H33" s="1">
        <v>5</v>
      </c>
      <c r="I33" s="1">
        <v>5</v>
      </c>
      <c r="J33" s="1">
        <v>5</v>
      </c>
      <c r="K33" s="1">
        <v>5</v>
      </c>
      <c r="L33" s="1">
        <v>5</v>
      </c>
      <c r="M33" s="1">
        <v>5</v>
      </c>
      <c r="N33" s="1">
        <v>5</v>
      </c>
      <c r="O33" s="1">
        <v>5</v>
      </c>
      <c r="AA33" s="3">
        <f t="shared" si="0"/>
        <v>65</v>
      </c>
      <c r="AB33" s="1">
        <f t="shared" si="1"/>
        <v>60</v>
      </c>
      <c r="AC33" s="1">
        <f t="shared" si="2"/>
        <v>-5</v>
      </c>
    </row>
    <row r="34" spans="1:29" x14ac:dyDescent="0.3">
      <c r="A34" s="5">
        <v>28</v>
      </c>
      <c r="B34" t="s">
        <v>68</v>
      </c>
      <c r="F34" s="1">
        <v>5</v>
      </c>
      <c r="G34" s="1">
        <v>5</v>
      </c>
      <c r="H34" s="1">
        <v>5</v>
      </c>
      <c r="I34" s="1">
        <v>5</v>
      </c>
      <c r="J34" s="1">
        <v>5</v>
      </c>
      <c r="K34" s="1">
        <v>5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5</v>
      </c>
      <c r="T34" s="1">
        <v>5</v>
      </c>
      <c r="U34" s="1">
        <v>5</v>
      </c>
      <c r="V34" s="1">
        <v>5</v>
      </c>
      <c r="W34" s="1">
        <v>5</v>
      </c>
      <c r="AA34" s="3">
        <f t="shared" si="0"/>
        <v>90</v>
      </c>
      <c r="AB34" s="1">
        <f t="shared" si="1"/>
        <v>60</v>
      </c>
      <c r="AC34" s="1">
        <f t="shared" si="2"/>
        <v>-30</v>
      </c>
    </row>
    <row r="35" spans="1:29" x14ac:dyDescent="0.3">
      <c r="A35" s="5">
        <v>29</v>
      </c>
      <c r="B35" t="s">
        <v>69</v>
      </c>
      <c r="AA35" s="3">
        <f t="shared" si="0"/>
        <v>0</v>
      </c>
      <c r="AB35" s="1">
        <f t="shared" si="1"/>
        <v>60</v>
      </c>
      <c r="AC35" s="1">
        <f t="shared" si="2"/>
        <v>60</v>
      </c>
    </row>
    <row r="36" spans="1:29" x14ac:dyDescent="0.3">
      <c r="A36" s="5">
        <v>30</v>
      </c>
      <c r="B36" t="s">
        <v>70</v>
      </c>
      <c r="C36" s="1">
        <v>5</v>
      </c>
      <c r="D36" s="1">
        <v>5</v>
      </c>
      <c r="E36" s="1">
        <v>5</v>
      </c>
      <c r="F36" s="1">
        <v>5</v>
      </c>
      <c r="G36" s="1">
        <v>5</v>
      </c>
      <c r="H36" s="1">
        <v>5</v>
      </c>
      <c r="I36" s="1">
        <v>5</v>
      </c>
      <c r="J36" s="1">
        <v>5</v>
      </c>
      <c r="K36" s="1">
        <v>5</v>
      </c>
      <c r="L36" s="1">
        <v>5</v>
      </c>
      <c r="M36" s="1">
        <v>5</v>
      </c>
      <c r="AA36" s="3">
        <f t="shared" si="0"/>
        <v>55</v>
      </c>
      <c r="AB36" s="1">
        <f t="shared" si="1"/>
        <v>60</v>
      </c>
      <c r="AC36" s="1">
        <f t="shared" si="2"/>
        <v>5</v>
      </c>
    </row>
    <row r="37" spans="1:29" x14ac:dyDescent="0.3">
      <c r="A37" s="5">
        <v>31</v>
      </c>
      <c r="B37" t="s">
        <v>71</v>
      </c>
      <c r="AA37" s="3">
        <f t="shared" si="0"/>
        <v>0</v>
      </c>
      <c r="AB37" s="1">
        <f t="shared" si="1"/>
        <v>60</v>
      </c>
      <c r="AC37" s="1">
        <f t="shared" si="2"/>
        <v>60</v>
      </c>
    </row>
    <row r="38" spans="1:29" x14ac:dyDescent="0.3">
      <c r="A38" s="5">
        <v>32</v>
      </c>
      <c r="B38" t="s">
        <v>72</v>
      </c>
      <c r="C38" s="1">
        <v>5</v>
      </c>
      <c r="D38" s="1">
        <v>5</v>
      </c>
      <c r="E38" s="1">
        <v>5</v>
      </c>
      <c r="F38" s="1">
        <v>5</v>
      </c>
      <c r="G38" s="1">
        <v>5</v>
      </c>
      <c r="H38" s="1">
        <v>5</v>
      </c>
      <c r="I38" s="1">
        <v>5</v>
      </c>
      <c r="J38" s="1">
        <v>5</v>
      </c>
      <c r="K38" s="1">
        <v>5</v>
      </c>
      <c r="L38" s="1">
        <v>5</v>
      </c>
      <c r="M38" s="1">
        <v>5</v>
      </c>
      <c r="N38" s="1">
        <v>5</v>
      </c>
      <c r="O38" s="1">
        <v>5</v>
      </c>
      <c r="P38" s="1">
        <v>5</v>
      </c>
      <c r="Q38" s="1">
        <v>5</v>
      </c>
      <c r="R38" s="1">
        <v>5</v>
      </c>
      <c r="S38" s="1">
        <v>5</v>
      </c>
      <c r="T38" s="1">
        <v>5</v>
      </c>
      <c r="U38" s="1">
        <v>5</v>
      </c>
      <c r="V38" s="1">
        <v>5</v>
      </c>
      <c r="AA38" s="3">
        <f t="shared" si="0"/>
        <v>100</v>
      </c>
      <c r="AB38" s="1">
        <f t="shared" si="1"/>
        <v>60</v>
      </c>
      <c r="AC38" s="1">
        <f t="shared" si="2"/>
        <v>-40</v>
      </c>
    </row>
    <row r="39" spans="1:29" x14ac:dyDescent="0.3">
      <c r="A39" s="5">
        <v>33</v>
      </c>
      <c r="B39" t="s">
        <v>73</v>
      </c>
      <c r="R39" s="1">
        <v>5</v>
      </c>
      <c r="S39" s="1">
        <v>5</v>
      </c>
      <c r="AA39" s="3">
        <f t="shared" si="0"/>
        <v>10</v>
      </c>
      <c r="AB39" s="1">
        <f t="shared" si="1"/>
        <v>60</v>
      </c>
      <c r="AC39" s="1">
        <f t="shared" si="2"/>
        <v>50</v>
      </c>
    </row>
    <row r="40" spans="1:29" x14ac:dyDescent="0.3">
      <c r="A40" s="5">
        <v>34</v>
      </c>
      <c r="B40" t="s">
        <v>74</v>
      </c>
      <c r="C40" s="1">
        <v>5</v>
      </c>
      <c r="D40" s="1">
        <v>5</v>
      </c>
      <c r="E40" s="1">
        <v>5</v>
      </c>
      <c r="F40" s="1">
        <v>5</v>
      </c>
      <c r="G40" s="1">
        <v>5</v>
      </c>
      <c r="H40" s="1">
        <v>5</v>
      </c>
      <c r="I40" s="1">
        <v>5</v>
      </c>
      <c r="J40" s="1">
        <v>5</v>
      </c>
      <c r="K40" s="1">
        <v>5</v>
      </c>
      <c r="L40" s="1">
        <v>5</v>
      </c>
      <c r="M40" s="1">
        <v>5</v>
      </c>
      <c r="N40" s="1">
        <v>5</v>
      </c>
      <c r="AA40" s="3">
        <f t="shared" si="0"/>
        <v>60</v>
      </c>
      <c r="AB40" s="1">
        <f t="shared" si="1"/>
        <v>60</v>
      </c>
      <c r="AC40" s="1">
        <f t="shared" si="2"/>
        <v>0</v>
      </c>
    </row>
    <row r="41" spans="1:29" x14ac:dyDescent="0.3">
      <c r="A41" s="5">
        <v>35</v>
      </c>
      <c r="B41" t="s">
        <v>75</v>
      </c>
      <c r="AA41" s="3">
        <f t="shared" si="0"/>
        <v>0</v>
      </c>
      <c r="AB41" s="1">
        <f t="shared" si="1"/>
        <v>60</v>
      </c>
      <c r="AC41" s="1">
        <f t="shared" si="2"/>
        <v>60</v>
      </c>
    </row>
    <row r="42" spans="1:29" x14ac:dyDescent="0.3">
      <c r="A42" s="5">
        <v>36</v>
      </c>
      <c r="B42" t="s">
        <v>76</v>
      </c>
      <c r="AA42" s="3">
        <f t="shared" si="0"/>
        <v>0</v>
      </c>
      <c r="AB42" s="1">
        <f t="shared" si="1"/>
        <v>60</v>
      </c>
      <c r="AC42" s="1">
        <f t="shared" si="2"/>
        <v>60</v>
      </c>
    </row>
    <row r="43" spans="1:29" x14ac:dyDescent="0.3">
      <c r="A43" s="5">
        <v>37</v>
      </c>
      <c r="B43" t="s">
        <v>77</v>
      </c>
      <c r="C43" s="1">
        <v>5</v>
      </c>
      <c r="D43" s="1">
        <v>5</v>
      </c>
      <c r="E43" s="1">
        <v>5</v>
      </c>
      <c r="F43" s="1">
        <v>5</v>
      </c>
      <c r="G43" s="1">
        <v>5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R43" s="1">
        <v>5</v>
      </c>
      <c r="AA43" s="3">
        <f t="shared" si="0"/>
        <v>80</v>
      </c>
      <c r="AB43" s="1">
        <f t="shared" si="1"/>
        <v>60</v>
      </c>
      <c r="AC43" s="1">
        <f t="shared" si="2"/>
        <v>-20</v>
      </c>
    </row>
    <row r="44" spans="1:29" x14ac:dyDescent="0.3">
      <c r="A44" s="5">
        <v>38</v>
      </c>
      <c r="B44" t="s">
        <v>78</v>
      </c>
      <c r="C44" s="1">
        <v>5</v>
      </c>
      <c r="D44" s="1">
        <v>5</v>
      </c>
      <c r="E44" s="1">
        <v>5</v>
      </c>
      <c r="F44" s="1">
        <v>5</v>
      </c>
      <c r="G44" s="1">
        <v>5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AA44" s="3">
        <f t="shared" si="0"/>
        <v>60</v>
      </c>
      <c r="AB44" s="1">
        <f t="shared" si="1"/>
        <v>60</v>
      </c>
      <c r="AC44" s="1">
        <f t="shared" si="2"/>
        <v>0</v>
      </c>
    </row>
    <row r="45" spans="1:29" x14ac:dyDescent="0.3">
      <c r="A45" s="5">
        <v>39</v>
      </c>
      <c r="B45" t="s">
        <v>79</v>
      </c>
      <c r="C45" s="1">
        <v>5</v>
      </c>
      <c r="D45" s="1">
        <v>5</v>
      </c>
      <c r="E45" s="1">
        <v>5</v>
      </c>
      <c r="F45" s="1">
        <v>5</v>
      </c>
      <c r="G45" s="1">
        <v>5</v>
      </c>
      <c r="H45" s="1">
        <v>5</v>
      </c>
      <c r="I45" s="1">
        <v>5</v>
      </c>
      <c r="J45" s="1">
        <v>5</v>
      </c>
      <c r="K45" s="1">
        <v>5</v>
      </c>
      <c r="L45" s="1">
        <v>5</v>
      </c>
      <c r="AA45" s="3">
        <f t="shared" si="0"/>
        <v>50</v>
      </c>
      <c r="AB45" s="1">
        <f t="shared" si="1"/>
        <v>60</v>
      </c>
      <c r="AC45" s="1">
        <f t="shared" si="2"/>
        <v>10</v>
      </c>
    </row>
    <row r="46" spans="1:29" x14ac:dyDescent="0.3">
      <c r="A46" s="5">
        <v>40</v>
      </c>
      <c r="B46" t="s">
        <v>80</v>
      </c>
      <c r="AA46" s="3">
        <f t="shared" si="0"/>
        <v>0</v>
      </c>
      <c r="AB46" s="1">
        <f t="shared" si="1"/>
        <v>60</v>
      </c>
      <c r="AC46" s="1">
        <f t="shared" si="2"/>
        <v>60</v>
      </c>
    </row>
    <row r="47" spans="1:29" x14ac:dyDescent="0.3">
      <c r="A47" s="5">
        <v>41</v>
      </c>
      <c r="B47" t="s">
        <v>81</v>
      </c>
      <c r="AA47" s="3">
        <f t="shared" si="0"/>
        <v>0</v>
      </c>
      <c r="AB47" s="1">
        <f t="shared" si="1"/>
        <v>60</v>
      </c>
      <c r="AC47" s="1">
        <f t="shared" si="2"/>
        <v>60</v>
      </c>
    </row>
    <row r="48" spans="1:29" x14ac:dyDescent="0.3">
      <c r="A48" s="5">
        <v>42</v>
      </c>
      <c r="B48" t="s">
        <v>82</v>
      </c>
      <c r="C48" s="48"/>
      <c r="D48" s="48"/>
      <c r="E48" s="48"/>
      <c r="F48" s="48"/>
      <c r="G48" s="48"/>
      <c r="H48" s="48"/>
      <c r="I48" s="1">
        <v>5</v>
      </c>
      <c r="J48" s="1">
        <v>5</v>
      </c>
      <c r="K48" s="1">
        <v>5</v>
      </c>
      <c r="L48" s="1">
        <v>5</v>
      </c>
      <c r="M48" s="1">
        <v>5</v>
      </c>
      <c r="N48" s="1">
        <v>5</v>
      </c>
      <c r="O48" s="1">
        <v>5</v>
      </c>
      <c r="P48" s="1">
        <v>5</v>
      </c>
      <c r="Q48" s="1">
        <v>5</v>
      </c>
      <c r="R48" s="1">
        <v>5</v>
      </c>
      <c r="AA48" s="3">
        <f t="shared" si="0"/>
        <v>50</v>
      </c>
      <c r="AB48" s="1">
        <f t="shared" si="1"/>
        <v>60</v>
      </c>
      <c r="AC48" s="1">
        <f t="shared" si="2"/>
        <v>10</v>
      </c>
    </row>
    <row r="49" spans="1:29" x14ac:dyDescent="0.3">
      <c r="A49" s="5">
        <v>43</v>
      </c>
      <c r="B49" t="s">
        <v>83</v>
      </c>
      <c r="AA49" s="3">
        <f t="shared" si="0"/>
        <v>0</v>
      </c>
      <c r="AB49" s="1">
        <f t="shared" si="1"/>
        <v>60</v>
      </c>
      <c r="AC49" s="1">
        <f t="shared" si="2"/>
        <v>60</v>
      </c>
    </row>
    <row r="50" spans="1:29" x14ac:dyDescent="0.3">
      <c r="A50" s="5">
        <v>44</v>
      </c>
      <c r="B50" t="s">
        <v>84</v>
      </c>
      <c r="C50" s="1">
        <v>5</v>
      </c>
      <c r="D50" s="1">
        <v>5</v>
      </c>
      <c r="E50" s="1">
        <v>5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AA50" s="3">
        <f t="shared" si="0"/>
        <v>40</v>
      </c>
      <c r="AB50" s="1">
        <f t="shared" si="1"/>
        <v>60</v>
      </c>
      <c r="AC50" s="1">
        <f t="shared" si="2"/>
        <v>20</v>
      </c>
    </row>
    <row r="51" spans="1:29" x14ac:dyDescent="0.3">
      <c r="A51" s="5">
        <v>45</v>
      </c>
      <c r="B51" t="s">
        <v>85</v>
      </c>
      <c r="C51" s="1">
        <v>5</v>
      </c>
      <c r="D51" s="1">
        <v>5</v>
      </c>
      <c r="E51" s="1">
        <v>5</v>
      </c>
      <c r="F51" s="1">
        <v>5</v>
      </c>
      <c r="G51" s="1">
        <v>5</v>
      </c>
      <c r="H51" s="1">
        <v>5</v>
      </c>
      <c r="I51" s="1">
        <v>5</v>
      </c>
      <c r="J51" s="1">
        <v>5</v>
      </c>
      <c r="AA51" s="3">
        <f t="shared" si="0"/>
        <v>40</v>
      </c>
      <c r="AB51" s="1">
        <f t="shared" si="1"/>
        <v>60</v>
      </c>
      <c r="AC51" s="1">
        <f t="shared" si="2"/>
        <v>20</v>
      </c>
    </row>
    <row r="52" spans="1:29" x14ac:dyDescent="0.3">
      <c r="A52" s="5">
        <v>46</v>
      </c>
      <c r="B52" t="s">
        <v>86</v>
      </c>
      <c r="AA52" s="3">
        <f t="shared" si="0"/>
        <v>0</v>
      </c>
      <c r="AB52" s="1">
        <f t="shared" si="1"/>
        <v>60</v>
      </c>
      <c r="AC52" s="1">
        <f t="shared" si="2"/>
        <v>60</v>
      </c>
    </row>
    <row r="53" spans="1:29" x14ac:dyDescent="0.3">
      <c r="A53" s="5">
        <v>47</v>
      </c>
      <c r="B53" t="s">
        <v>87</v>
      </c>
      <c r="AA53" s="3">
        <f t="shared" si="0"/>
        <v>0</v>
      </c>
      <c r="AB53" s="1">
        <f t="shared" si="1"/>
        <v>60</v>
      </c>
      <c r="AC53" s="1">
        <f t="shared" si="2"/>
        <v>60</v>
      </c>
    </row>
    <row r="54" spans="1:29" x14ac:dyDescent="0.3">
      <c r="A54" s="5">
        <v>48</v>
      </c>
      <c r="B54" t="s">
        <v>88</v>
      </c>
      <c r="C54" s="1">
        <v>5</v>
      </c>
      <c r="D54" s="1">
        <v>5</v>
      </c>
      <c r="E54" s="1">
        <v>5</v>
      </c>
      <c r="F54" s="1">
        <v>5</v>
      </c>
      <c r="G54" s="1">
        <v>5</v>
      </c>
      <c r="H54" s="1">
        <v>5</v>
      </c>
      <c r="I54" s="1">
        <v>5</v>
      </c>
      <c r="J54" s="1">
        <v>5</v>
      </c>
      <c r="K54" s="1">
        <v>5</v>
      </c>
      <c r="L54" s="1">
        <v>5</v>
      </c>
      <c r="M54" s="1">
        <v>5</v>
      </c>
      <c r="N54" s="1">
        <v>5</v>
      </c>
      <c r="O54" s="1">
        <v>5</v>
      </c>
      <c r="P54" s="1">
        <v>5</v>
      </c>
      <c r="Q54" s="1">
        <v>5</v>
      </c>
      <c r="R54" s="1">
        <v>5</v>
      </c>
      <c r="S54" s="1">
        <v>5</v>
      </c>
      <c r="T54" s="1">
        <v>5</v>
      </c>
      <c r="U54" s="1">
        <v>5</v>
      </c>
      <c r="V54" s="1">
        <v>5</v>
      </c>
      <c r="AA54" s="3">
        <f t="shared" si="0"/>
        <v>100</v>
      </c>
      <c r="AB54" s="1">
        <f t="shared" si="1"/>
        <v>60</v>
      </c>
      <c r="AC54" s="1">
        <f t="shared" si="2"/>
        <v>-40</v>
      </c>
    </row>
    <row r="55" spans="1:29" x14ac:dyDescent="0.3">
      <c r="A55" s="5">
        <v>49</v>
      </c>
      <c r="B55" t="s">
        <v>89</v>
      </c>
      <c r="C55" s="1">
        <v>5</v>
      </c>
      <c r="D55" s="1">
        <v>5</v>
      </c>
      <c r="E55" s="1">
        <v>5</v>
      </c>
      <c r="F55" s="1">
        <v>5</v>
      </c>
      <c r="G55" s="1">
        <v>5</v>
      </c>
      <c r="H55" s="1">
        <v>5</v>
      </c>
      <c r="I55" s="1">
        <v>5</v>
      </c>
      <c r="J55" s="1">
        <v>5</v>
      </c>
      <c r="K55" s="1">
        <v>5</v>
      </c>
      <c r="L55" s="1">
        <v>5</v>
      </c>
      <c r="M55" s="1">
        <v>5</v>
      </c>
      <c r="N55" s="1">
        <v>5</v>
      </c>
      <c r="O55" s="1">
        <v>5</v>
      </c>
      <c r="P55" s="1">
        <v>5</v>
      </c>
      <c r="Q55" s="1">
        <v>5</v>
      </c>
      <c r="AA55" s="3">
        <f t="shared" si="0"/>
        <v>75</v>
      </c>
      <c r="AB55" s="1">
        <f t="shared" si="1"/>
        <v>60</v>
      </c>
      <c r="AC55" s="1">
        <f t="shared" si="2"/>
        <v>-15</v>
      </c>
    </row>
    <row r="56" spans="1:29" x14ac:dyDescent="0.3">
      <c r="A56" s="5">
        <v>50</v>
      </c>
      <c r="B56" t="s">
        <v>90</v>
      </c>
      <c r="C56" s="1">
        <v>5</v>
      </c>
      <c r="D56" s="1">
        <v>5</v>
      </c>
      <c r="E56" s="1">
        <v>5</v>
      </c>
      <c r="F56" s="1">
        <v>5</v>
      </c>
      <c r="G56" s="1">
        <v>5</v>
      </c>
      <c r="H56" s="1">
        <v>5</v>
      </c>
      <c r="I56" s="1">
        <v>5</v>
      </c>
      <c r="J56" s="1">
        <v>5</v>
      </c>
      <c r="K56" s="1">
        <v>5</v>
      </c>
      <c r="L56" s="1">
        <v>5</v>
      </c>
      <c r="AA56" s="3">
        <f t="shared" si="0"/>
        <v>50</v>
      </c>
      <c r="AB56" s="1">
        <f t="shared" si="1"/>
        <v>60</v>
      </c>
      <c r="AC56" s="1">
        <f t="shared" si="2"/>
        <v>10</v>
      </c>
    </row>
    <row r="57" spans="1:29" x14ac:dyDescent="0.3">
      <c r="A57" s="5">
        <v>51</v>
      </c>
      <c r="B57" t="s">
        <v>91</v>
      </c>
      <c r="C57" s="1">
        <v>5</v>
      </c>
      <c r="D57" s="1">
        <v>5</v>
      </c>
      <c r="E57" s="1">
        <v>5</v>
      </c>
      <c r="F57" s="1">
        <v>5</v>
      </c>
      <c r="AA57" s="3">
        <f t="shared" si="0"/>
        <v>20</v>
      </c>
      <c r="AB57" s="1">
        <f t="shared" si="1"/>
        <v>60</v>
      </c>
      <c r="AC57" s="1">
        <f t="shared" si="2"/>
        <v>40</v>
      </c>
    </row>
    <row r="58" spans="1:29" x14ac:dyDescent="0.3">
      <c r="A58" s="5">
        <v>52</v>
      </c>
      <c r="B58" t="s">
        <v>92</v>
      </c>
      <c r="AA58" s="3">
        <f t="shared" si="0"/>
        <v>0</v>
      </c>
      <c r="AB58" s="1">
        <f t="shared" si="1"/>
        <v>60</v>
      </c>
      <c r="AC58" s="1">
        <f t="shared" si="2"/>
        <v>60</v>
      </c>
    </row>
    <row r="59" spans="1:29" x14ac:dyDescent="0.3">
      <c r="A59" s="5">
        <v>53</v>
      </c>
      <c r="B59" t="s">
        <v>93</v>
      </c>
      <c r="C59" s="1">
        <v>5</v>
      </c>
      <c r="D59" s="1">
        <v>5</v>
      </c>
      <c r="E59" s="1">
        <v>5</v>
      </c>
      <c r="F59" s="1">
        <v>5</v>
      </c>
      <c r="G59" s="1">
        <v>5</v>
      </c>
      <c r="H59" s="1">
        <v>5</v>
      </c>
      <c r="I59" s="1">
        <v>5</v>
      </c>
      <c r="J59" s="1">
        <v>5</v>
      </c>
      <c r="K59" s="1">
        <v>5</v>
      </c>
      <c r="L59" s="1">
        <v>5</v>
      </c>
      <c r="AA59" s="3">
        <f t="shared" si="0"/>
        <v>50</v>
      </c>
      <c r="AB59" s="1">
        <f t="shared" si="1"/>
        <v>60</v>
      </c>
      <c r="AC59" s="1">
        <f t="shared" si="2"/>
        <v>10</v>
      </c>
    </row>
    <row r="60" spans="1:29" x14ac:dyDescent="0.3">
      <c r="A60" s="5">
        <v>54</v>
      </c>
      <c r="B60" t="s">
        <v>94</v>
      </c>
      <c r="AA60" s="3">
        <f t="shared" si="0"/>
        <v>0</v>
      </c>
      <c r="AB60" s="1">
        <f t="shared" si="1"/>
        <v>60</v>
      </c>
      <c r="AC60" s="1">
        <f t="shared" si="2"/>
        <v>60</v>
      </c>
    </row>
    <row r="61" spans="1:29" x14ac:dyDescent="0.3">
      <c r="A61" s="5">
        <v>55</v>
      </c>
      <c r="B61" t="s">
        <v>95</v>
      </c>
      <c r="AA61" s="3">
        <f t="shared" si="0"/>
        <v>0</v>
      </c>
      <c r="AB61" s="1">
        <f t="shared" si="1"/>
        <v>60</v>
      </c>
      <c r="AC61" s="1">
        <f t="shared" si="2"/>
        <v>60</v>
      </c>
    </row>
    <row r="62" spans="1:29" x14ac:dyDescent="0.3">
      <c r="A62" s="5">
        <v>56</v>
      </c>
      <c r="B62" t="s">
        <v>96</v>
      </c>
      <c r="C62" s="1">
        <v>5</v>
      </c>
      <c r="D62" s="1">
        <v>5</v>
      </c>
      <c r="E62" s="1">
        <v>5</v>
      </c>
      <c r="F62" s="1">
        <v>5</v>
      </c>
      <c r="G62" s="1">
        <v>5</v>
      </c>
      <c r="H62" s="1">
        <v>5</v>
      </c>
      <c r="I62" s="1">
        <v>5</v>
      </c>
      <c r="J62" s="1">
        <v>5</v>
      </c>
      <c r="K62" s="1">
        <v>5</v>
      </c>
      <c r="L62" s="1">
        <v>5</v>
      </c>
      <c r="AA62" s="3">
        <f t="shared" si="0"/>
        <v>50</v>
      </c>
      <c r="AB62" s="1">
        <f t="shared" si="1"/>
        <v>60</v>
      </c>
      <c r="AC62" s="1">
        <f t="shared" si="2"/>
        <v>10</v>
      </c>
    </row>
    <row r="63" spans="1:29" x14ac:dyDescent="0.3">
      <c r="A63" s="5">
        <v>57</v>
      </c>
      <c r="B63" t="s">
        <v>97</v>
      </c>
      <c r="AA63" s="3">
        <f>C63+D63+E63+F63+G63+H63+I63+J63+K63+L63+M63+N63+O63+P63+Q63+R63+S63+T63+U63+V63+W63+X63+Y63+Z63</f>
        <v>0</v>
      </c>
      <c r="AB63" s="1">
        <f t="shared" si="1"/>
        <v>60</v>
      </c>
      <c r="AC63" s="1">
        <f t="shared" si="2"/>
        <v>60</v>
      </c>
    </row>
    <row r="64" spans="1:29" x14ac:dyDescent="0.3">
      <c r="A64" s="5">
        <v>58</v>
      </c>
      <c r="B64" t="s">
        <v>98</v>
      </c>
      <c r="C64" s="1">
        <v>5</v>
      </c>
      <c r="D64" s="1">
        <v>5</v>
      </c>
      <c r="E64" s="1">
        <v>5</v>
      </c>
      <c r="F64" s="1">
        <v>5</v>
      </c>
      <c r="G64" s="1">
        <v>5</v>
      </c>
      <c r="H64" s="1">
        <v>5</v>
      </c>
      <c r="I64" s="1">
        <v>5</v>
      </c>
      <c r="J64" s="1">
        <v>5</v>
      </c>
      <c r="K64" s="1">
        <v>5</v>
      </c>
      <c r="L64" s="1">
        <v>5</v>
      </c>
      <c r="AA64" s="3">
        <f t="shared" si="0"/>
        <v>50</v>
      </c>
      <c r="AB64" s="1">
        <f t="shared" si="1"/>
        <v>60</v>
      </c>
      <c r="AC64" s="1">
        <f t="shared" si="2"/>
        <v>10</v>
      </c>
    </row>
    <row r="65" spans="1:29" x14ac:dyDescent="0.3">
      <c r="A65" s="5">
        <v>59</v>
      </c>
      <c r="B65" t="s">
        <v>99</v>
      </c>
      <c r="C65" s="1">
        <v>5</v>
      </c>
      <c r="D65" s="1">
        <v>5</v>
      </c>
      <c r="E65" s="1">
        <v>5</v>
      </c>
      <c r="F65" s="1">
        <v>5</v>
      </c>
      <c r="H65" s="1">
        <v>5</v>
      </c>
      <c r="I65" s="1">
        <v>5</v>
      </c>
      <c r="J65" s="1">
        <v>5</v>
      </c>
      <c r="K65" s="1">
        <v>5</v>
      </c>
      <c r="L65" s="1">
        <v>5</v>
      </c>
      <c r="M65" s="1">
        <v>5</v>
      </c>
      <c r="N65" s="1">
        <v>5</v>
      </c>
      <c r="O65" s="1">
        <v>5</v>
      </c>
      <c r="P65" s="1">
        <v>5</v>
      </c>
      <c r="Q65" s="1">
        <v>5</v>
      </c>
      <c r="AA65" s="3">
        <f t="shared" si="0"/>
        <v>70</v>
      </c>
      <c r="AB65" s="1">
        <f t="shared" si="1"/>
        <v>60</v>
      </c>
      <c r="AC65" s="1">
        <f t="shared" si="2"/>
        <v>-10</v>
      </c>
    </row>
    <row r="66" spans="1:29" x14ac:dyDescent="0.3">
      <c r="A66" s="5">
        <v>60</v>
      </c>
      <c r="B66" t="s">
        <v>100</v>
      </c>
      <c r="AA66" s="3">
        <f t="shared" si="0"/>
        <v>0</v>
      </c>
      <c r="AB66" s="1">
        <f t="shared" si="1"/>
        <v>60</v>
      </c>
      <c r="AC66" s="1">
        <f t="shared" si="2"/>
        <v>60</v>
      </c>
    </row>
    <row r="67" spans="1:29" x14ac:dyDescent="0.3">
      <c r="A67" s="5">
        <v>61</v>
      </c>
      <c r="B67" t="s">
        <v>101</v>
      </c>
      <c r="AA67" s="3">
        <f t="shared" si="0"/>
        <v>0</v>
      </c>
      <c r="AB67" s="1">
        <f t="shared" si="1"/>
        <v>60</v>
      </c>
      <c r="AC67" s="1">
        <f t="shared" si="2"/>
        <v>60</v>
      </c>
    </row>
    <row r="68" spans="1:29" x14ac:dyDescent="0.3">
      <c r="A68" s="5">
        <v>62</v>
      </c>
      <c r="B68" t="s">
        <v>102</v>
      </c>
      <c r="C68" s="1">
        <v>5</v>
      </c>
      <c r="D68" s="1">
        <v>5</v>
      </c>
      <c r="E68" s="1">
        <v>5</v>
      </c>
      <c r="F68" s="1">
        <v>5</v>
      </c>
      <c r="G68" s="1">
        <v>5</v>
      </c>
      <c r="H68" s="1">
        <v>5</v>
      </c>
      <c r="I68" s="1">
        <v>5</v>
      </c>
      <c r="J68" s="1">
        <v>5</v>
      </c>
      <c r="K68" s="1">
        <v>5</v>
      </c>
      <c r="AA68" s="3">
        <f t="shared" si="0"/>
        <v>45</v>
      </c>
      <c r="AB68" s="1">
        <f t="shared" si="1"/>
        <v>60</v>
      </c>
      <c r="AC68" s="1">
        <f t="shared" si="2"/>
        <v>15</v>
      </c>
    </row>
    <row r="69" spans="1:29" x14ac:dyDescent="0.3">
      <c r="A69" s="5">
        <v>63</v>
      </c>
      <c r="B69" t="s">
        <v>103</v>
      </c>
      <c r="C69" s="1">
        <v>5</v>
      </c>
      <c r="D69" s="1">
        <v>5</v>
      </c>
      <c r="E69" s="1">
        <v>5</v>
      </c>
      <c r="F69" s="1">
        <v>5</v>
      </c>
      <c r="G69" s="1">
        <v>5</v>
      </c>
      <c r="H69" s="1">
        <v>5</v>
      </c>
      <c r="I69" s="1">
        <v>5</v>
      </c>
      <c r="J69" s="1">
        <v>5</v>
      </c>
      <c r="K69" s="1">
        <v>5</v>
      </c>
      <c r="AA69" s="3">
        <f t="shared" si="0"/>
        <v>45</v>
      </c>
      <c r="AB69" s="1">
        <f t="shared" si="1"/>
        <v>60</v>
      </c>
      <c r="AC69" s="1">
        <f t="shared" si="2"/>
        <v>15</v>
      </c>
    </row>
    <row r="70" spans="1:29" x14ac:dyDescent="0.3">
      <c r="A70" s="5">
        <v>64</v>
      </c>
      <c r="B70" t="s">
        <v>104</v>
      </c>
      <c r="C70" s="48"/>
      <c r="D70" s="48"/>
      <c r="E70" s="48"/>
      <c r="F70" s="48"/>
      <c r="G70" s="48"/>
      <c r="H70" s="48"/>
      <c r="I70" s="48"/>
      <c r="J70" s="48"/>
      <c r="K70" s="48"/>
      <c r="L70" s="1">
        <v>5</v>
      </c>
      <c r="M70" s="1">
        <v>5</v>
      </c>
      <c r="N70" s="1">
        <v>5</v>
      </c>
      <c r="O70" s="1">
        <v>5</v>
      </c>
      <c r="P70" s="1">
        <v>5</v>
      </c>
      <c r="Q70" s="1">
        <v>5</v>
      </c>
      <c r="AA70" s="3">
        <f t="shared" si="0"/>
        <v>30</v>
      </c>
      <c r="AB70" s="1">
        <f t="shared" si="1"/>
        <v>60</v>
      </c>
      <c r="AC70" s="1">
        <f t="shared" ref="AC70:AC74" si="3">AB70-AA70</f>
        <v>30</v>
      </c>
    </row>
    <row r="71" spans="1:29" x14ac:dyDescent="0.3">
      <c r="A71" s="5">
        <v>65</v>
      </c>
      <c r="B71" t="s">
        <v>105</v>
      </c>
      <c r="C71" s="48"/>
      <c r="D71" s="48"/>
      <c r="E71" s="48"/>
      <c r="F71" s="48"/>
      <c r="G71" s="48"/>
      <c r="H71" s="48"/>
      <c r="I71" s="48"/>
      <c r="J71" s="48"/>
      <c r="K71" s="48"/>
      <c r="L71" s="1">
        <v>5</v>
      </c>
      <c r="M71" s="1">
        <v>5</v>
      </c>
      <c r="N71" s="1">
        <v>5</v>
      </c>
      <c r="O71" s="1">
        <v>5</v>
      </c>
      <c r="P71" s="1">
        <v>5</v>
      </c>
      <c r="Q71" s="1">
        <v>5</v>
      </c>
      <c r="AA71" s="3">
        <f t="shared" si="0"/>
        <v>30</v>
      </c>
      <c r="AB71" s="1">
        <f t="shared" si="1"/>
        <v>60</v>
      </c>
      <c r="AC71" s="1">
        <f t="shared" si="3"/>
        <v>30</v>
      </c>
    </row>
    <row r="72" spans="1:29" x14ac:dyDescent="0.3">
      <c r="A72" s="5">
        <v>66</v>
      </c>
      <c r="B72" t="s">
        <v>106</v>
      </c>
      <c r="Q72" s="48"/>
      <c r="R72" s="1">
        <v>5</v>
      </c>
      <c r="AA72" s="3">
        <f t="shared" ref="AA72:AA75" si="4">C72+D72+E72+F72+G72+H72+I72+J72+K72+L72+M72+N72+O72+P72+Q72+R72+S72+T72+U72+V72+W72+X72+Y72+Z72</f>
        <v>5</v>
      </c>
      <c r="AB72" s="1">
        <f t="shared" ref="AB72:AB74" si="5">5*12</f>
        <v>60</v>
      </c>
      <c r="AC72" s="1">
        <f t="shared" si="3"/>
        <v>55</v>
      </c>
    </row>
    <row r="73" spans="1:29" x14ac:dyDescent="0.3">
      <c r="A73" s="5">
        <v>67</v>
      </c>
      <c r="AA73" s="3">
        <f t="shared" si="4"/>
        <v>0</v>
      </c>
      <c r="AB73" s="1">
        <f t="shared" si="5"/>
        <v>60</v>
      </c>
      <c r="AC73" s="1">
        <f t="shared" si="3"/>
        <v>60</v>
      </c>
    </row>
    <row r="74" spans="1:29" x14ac:dyDescent="0.3">
      <c r="A74" s="5">
        <v>68</v>
      </c>
      <c r="AA74" s="3">
        <f t="shared" si="4"/>
        <v>0</v>
      </c>
      <c r="AB74" s="1">
        <f t="shared" si="5"/>
        <v>60</v>
      </c>
      <c r="AC74" s="1">
        <f t="shared" si="3"/>
        <v>60</v>
      </c>
    </row>
    <row r="75" spans="1:29" x14ac:dyDescent="0.3">
      <c r="A75" s="5">
        <v>69</v>
      </c>
      <c r="AA75" s="3">
        <f t="shared" si="4"/>
        <v>0</v>
      </c>
    </row>
    <row r="76" spans="1:29" x14ac:dyDescent="0.3">
      <c r="A76" s="5">
        <v>70</v>
      </c>
      <c r="AA76" s="15">
        <f>SUM(AA7:AA69)</f>
        <v>2570</v>
      </c>
      <c r="AB76" s="15">
        <f>SUM(AB7:AB69)</f>
        <v>3745</v>
      </c>
      <c r="AC76" s="15">
        <f>SUM(AC7:AC69)</f>
        <v>1175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78"/>
  <sheetViews>
    <sheetView zoomScaleNormal="100" workbookViewId="0">
      <pane xSplit="2" ySplit="8" topLeftCell="Q75" activePane="bottomRight" state="frozen"/>
      <selection pane="topRight" activeCell="C1" sqref="C1"/>
      <selection pane="bottomLeft" activeCell="A7" sqref="A7"/>
      <selection pane="bottomRight" activeCell="AA77" sqref="AA77"/>
    </sheetView>
  </sheetViews>
  <sheetFormatPr defaultColWidth="8.88671875" defaultRowHeight="14.4" x14ac:dyDescent="0.3"/>
  <cols>
    <col min="1" max="1" width="8.88671875" style="235"/>
    <col min="2" max="2" width="33" style="225" customWidth="1"/>
    <col min="3" max="4" width="9.6640625" style="225" hidden="1" customWidth="1"/>
    <col min="5" max="10" width="9.6640625" style="225" customWidth="1"/>
    <col min="11" max="11" width="14" style="224" customWidth="1"/>
    <col min="12" max="12" width="10.33203125" style="224" customWidth="1"/>
    <col min="13" max="13" width="10.44140625" style="224" customWidth="1"/>
    <col min="14" max="14" width="10.6640625" style="224" customWidth="1"/>
    <col min="15" max="21" width="9.5546875" style="224" customWidth="1"/>
    <col min="22" max="26" width="9.44140625" style="224" customWidth="1"/>
    <col min="27" max="27" width="12.88671875" style="224" customWidth="1"/>
    <col min="28" max="32" width="8.88671875" style="225"/>
    <col min="33" max="35" width="9.5546875" style="225" bestFit="1" customWidth="1"/>
    <col min="36" max="16384" width="8.88671875" style="225"/>
  </cols>
  <sheetData>
    <row r="1" spans="1:35" ht="15.75" customHeight="1" x14ac:dyDescent="0.3">
      <c r="A1" s="281" t="str">
        <f>+Expend!A1</f>
        <v>THE METHODIST CHURCH GHANA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</row>
    <row r="2" spans="1:35" ht="15.75" customHeight="1" x14ac:dyDescent="0.3">
      <c r="A2" s="281" t="str">
        <f>+Expend!A2</f>
        <v>ACCRA NORTH DIOCESE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</row>
    <row r="3" spans="1:35" ht="15.75" customHeight="1" x14ac:dyDescent="0.3">
      <c r="A3" s="281" t="str">
        <f>+Expend!A3</f>
        <v>GA SUB-URBAN CIRCUIT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</row>
    <row r="4" spans="1:35" ht="15.75" customHeight="1" x14ac:dyDescent="0.3">
      <c r="A4" s="281" t="str">
        <f>+Expend!A4</f>
        <v>HEBRON  SOCIETY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</row>
    <row r="5" spans="1:35" ht="15.6" x14ac:dyDescent="0.3">
      <c r="A5" s="282" t="str">
        <f>+Expend!A5</f>
        <v>STATEMENT OF ACCOUNT FOR THE PERIOD 1ST JANUARY,2024 TO 31ST DECEMBER,2024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282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</row>
    <row r="6" spans="1:35" ht="18" customHeight="1" x14ac:dyDescent="0.3">
      <c r="A6" s="227"/>
      <c r="B6" s="228" t="s">
        <v>144</v>
      </c>
      <c r="C6" s="229" t="s">
        <v>262</v>
      </c>
      <c r="D6" s="229" t="s">
        <v>262</v>
      </c>
      <c r="E6" s="229" t="s">
        <v>262</v>
      </c>
      <c r="F6" s="229" t="s">
        <v>262</v>
      </c>
      <c r="G6" s="229" t="s">
        <v>262</v>
      </c>
      <c r="H6" s="229" t="s">
        <v>262</v>
      </c>
      <c r="I6" s="229" t="s">
        <v>262</v>
      </c>
      <c r="J6" s="229" t="s">
        <v>262</v>
      </c>
      <c r="K6" s="229">
        <v>2024</v>
      </c>
      <c r="L6" s="229">
        <v>2024</v>
      </c>
      <c r="M6" s="229">
        <v>2024</v>
      </c>
      <c r="N6" s="229">
        <v>2024</v>
      </c>
      <c r="O6" s="229">
        <v>2024</v>
      </c>
      <c r="P6" s="229">
        <v>2024</v>
      </c>
      <c r="Q6" s="229">
        <v>2024</v>
      </c>
      <c r="R6" s="229">
        <v>2024</v>
      </c>
      <c r="S6" s="229">
        <v>2024</v>
      </c>
      <c r="T6" s="229">
        <v>2024</v>
      </c>
      <c r="U6" s="229">
        <v>2024</v>
      </c>
      <c r="V6" s="229">
        <v>2024</v>
      </c>
      <c r="W6" s="229">
        <v>2024</v>
      </c>
      <c r="X6" s="229">
        <v>2024</v>
      </c>
      <c r="Y6" s="229">
        <v>2024</v>
      </c>
      <c r="Z6" s="229">
        <v>2024</v>
      </c>
      <c r="AA6" s="230"/>
    </row>
    <row r="7" spans="1:35" ht="35.25" customHeight="1" x14ac:dyDescent="0.3">
      <c r="A7" s="227" t="s">
        <v>33</v>
      </c>
      <c r="B7" s="228" t="s">
        <v>34</v>
      </c>
      <c r="C7" s="231" t="s">
        <v>26</v>
      </c>
      <c r="D7" s="231" t="s">
        <v>139</v>
      </c>
      <c r="E7" s="231" t="s">
        <v>140</v>
      </c>
      <c r="F7" s="231" t="s">
        <v>29</v>
      </c>
      <c r="G7" s="231" t="s">
        <v>30</v>
      </c>
      <c r="H7" s="231" t="s">
        <v>19</v>
      </c>
      <c r="I7" s="231" t="s">
        <v>20</v>
      </c>
      <c r="J7" s="231" t="s">
        <v>21</v>
      </c>
      <c r="K7" s="231" t="s">
        <v>22</v>
      </c>
      <c r="L7" s="231" t="s">
        <v>23</v>
      </c>
      <c r="M7" s="231" t="s">
        <v>24</v>
      </c>
      <c r="N7" s="231" t="s">
        <v>25</v>
      </c>
      <c r="O7" s="231" t="s">
        <v>26</v>
      </c>
      <c r="P7" s="231" t="s">
        <v>139</v>
      </c>
      <c r="Q7" s="231" t="s">
        <v>140</v>
      </c>
      <c r="R7" s="231" t="s">
        <v>29</v>
      </c>
      <c r="S7" s="231" t="s">
        <v>30</v>
      </c>
      <c r="T7" s="231" t="s">
        <v>19</v>
      </c>
      <c r="U7" s="231" t="s">
        <v>20</v>
      </c>
      <c r="V7" s="231" t="s">
        <v>21</v>
      </c>
      <c r="W7" s="231" t="s">
        <v>22</v>
      </c>
      <c r="X7" s="231" t="s">
        <v>23</v>
      </c>
      <c r="Y7" s="231" t="s">
        <v>24</v>
      </c>
      <c r="Z7" s="231" t="s">
        <v>25</v>
      </c>
      <c r="AA7" s="231" t="s">
        <v>31</v>
      </c>
    </row>
    <row r="8" spans="1:35" ht="15.6" x14ac:dyDescent="0.3">
      <c r="A8" s="227"/>
      <c r="B8" s="228"/>
      <c r="C8" s="231" t="s">
        <v>4</v>
      </c>
      <c r="D8" s="231" t="s">
        <v>4</v>
      </c>
      <c r="E8" s="231" t="s">
        <v>4</v>
      </c>
      <c r="F8" s="231" t="s">
        <v>4</v>
      </c>
      <c r="G8" s="231" t="s">
        <v>4</v>
      </c>
      <c r="H8" s="231" t="s">
        <v>4</v>
      </c>
      <c r="I8" s="231" t="s">
        <v>4</v>
      </c>
      <c r="J8" s="231" t="s">
        <v>4</v>
      </c>
      <c r="K8" s="231" t="s">
        <v>4</v>
      </c>
      <c r="L8" s="231" t="s">
        <v>4</v>
      </c>
      <c r="M8" s="231" t="s">
        <v>4</v>
      </c>
      <c r="N8" s="231" t="s">
        <v>4</v>
      </c>
      <c r="O8" s="231" t="s">
        <v>4</v>
      </c>
      <c r="P8" s="231" t="s">
        <v>4</v>
      </c>
      <c r="Q8" s="231" t="s">
        <v>4</v>
      </c>
      <c r="R8" s="231" t="s">
        <v>4</v>
      </c>
      <c r="S8" s="231" t="s">
        <v>4</v>
      </c>
      <c r="T8" s="231" t="s">
        <v>4</v>
      </c>
      <c r="U8" s="231" t="s">
        <v>4</v>
      </c>
      <c r="V8" s="231" t="s">
        <v>4</v>
      </c>
      <c r="W8" s="231" t="s">
        <v>4</v>
      </c>
      <c r="X8" s="231" t="s">
        <v>4</v>
      </c>
      <c r="Y8" s="231" t="s">
        <v>4</v>
      </c>
      <c r="Z8" s="231" t="s">
        <v>4</v>
      </c>
      <c r="AA8" s="231" t="s">
        <v>4</v>
      </c>
    </row>
    <row r="9" spans="1:35" ht="17.25" customHeight="1" x14ac:dyDescent="0.3">
      <c r="A9" s="227">
        <v>1</v>
      </c>
      <c r="B9" s="112" t="s">
        <v>205</v>
      </c>
      <c r="C9" s="112"/>
      <c r="D9" s="112"/>
      <c r="E9" s="112"/>
      <c r="F9" s="112"/>
      <c r="G9" s="112"/>
      <c r="H9" s="112"/>
      <c r="I9" s="112"/>
      <c r="J9" s="112"/>
      <c r="K9" s="117">
        <v>50</v>
      </c>
      <c r="L9" s="117">
        <v>50</v>
      </c>
      <c r="M9" s="117">
        <v>50</v>
      </c>
      <c r="N9" s="117">
        <v>50</v>
      </c>
      <c r="O9" s="117">
        <v>50</v>
      </c>
      <c r="P9" s="117">
        <v>50</v>
      </c>
      <c r="Q9" s="117">
        <v>50</v>
      </c>
      <c r="R9" s="117">
        <v>50</v>
      </c>
      <c r="S9" s="117">
        <v>50</v>
      </c>
      <c r="T9" s="117">
        <v>50</v>
      </c>
      <c r="U9" s="117">
        <v>50</v>
      </c>
      <c r="V9" s="117"/>
      <c r="W9" s="117"/>
      <c r="X9" s="117"/>
      <c r="Y9" s="117"/>
      <c r="Z9" s="117"/>
      <c r="AA9" s="117">
        <f>SUM(C9:Z9)</f>
        <v>550</v>
      </c>
    </row>
    <row r="10" spans="1:35" ht="17.25" customHeight="1" x14ac:dyDescent="0.3">
      <c r="A10" s="227">
        <v>2</v>
      </c>
      <c r="B10" s="112" t="s">
        <v>207</v>
      </c>
      <c r="C10" s="112"/>
      <c r="D10" s="112"/>
      <c r="E10" s="112"/>
      <c r="F10" s="112"/>
      <c r="G10" s="112"/>
      <c r="H10" s="112"/>
      <c r="I10" s="112"/>
      <c r="J10" s="112"/>
      <c r="K10" s="117">
        <v>150</v>
      </c>
      <c r="L10" s="117">
        <v>60</v>
      </c>
      <c r="M10" s="117">
        <v>60</v>
      </c>
      <c r="N10" s="117">
        <v>100</v>
      </c>
      <c r="O10" s="117">
        <v>100</v>
      </c>
      <c r="P10" s="117">
        <v>100</v>
      </c>
      <c r="Q10" s="117">
        <v>100</v>
      </c>
      <c r="R10" s="117">
        <v>100</v>
      </c>
      <c r="S10" s="117">
        <v>100</v>
      </c>
      <c r="T10" s="117">
        <v>100</v>
      </c>
      <c r="U10" s="117">
        <v>100</v>
      </c>
      <c r="V10" s="117">
        <v>120</v>
      </c>
      <c r="W10" s="117"/>
      <c r="X10" s="117"/>
      <c r="Y10" s="117"/>
      <c r="Z10" s="117"/>
      <c r="AA10" s="117">
        <f t="shared" ref="AA10:AA75" si="0">SUM(C10:Z10)</f>
        <v>1190</v>
      </c>
      <c r="AI10" s="232"/>
    </row>
    <row r="11" spans="1:35" ht="17.25" customHeight="1" x14ac:dyDescent="0.3">
      <c r="A11" s="227">
        <v>3</v>
      </c>
      <c r="B11" s="112" t="s">
        <v>191</v>
      </c>
      <c r="C11" s="112"/>
      <c r="D11" s="112"/>
      <c r="E11" s="112"/>
      <c r="F11" s="112"/>
      <c r="G11" s="112"/>
      <c r="H11" s="112"/>
      <c r="I11" s="112"/>
      <c r="J11" s="112"/>
      <c r="K11" s="117">
        <v>150</v>
      </c>
      <c r="L11" s="117">
        <v>150</v>
      </c>
      <c r="M11" s="117">
        <v>150</v>
      </c>
      <c r="N11" s="117">
        <v>150</v>
      </c>
      <c r="O11" s="117">
        <v>150</v>
      </c>
      <c r="P11" s="117">
        <v>150</v>
      </c>
      <c r="Q11" s="117">
        <v>150</v>
      </c>
      <c r="R11" s="117">
        <v>150</v>
      </c>
      <c r="S11" s="117">
        <v>150</v>
      </c>
      <c r="T11" s="117">
        <v>150</v>
      </c>
      <c r="U11" s="117">
        <v>100</v>
      </c>
      <c r="V11" s="117"/>
      <c r="W11" s="117"/>
      <c r="X11" s="117"/>
      <c r="Y11" s="117"/>
      <c r="Z11" s="117"/>
      <c r="AA11" s="117">
        <f t="shared" si="0"/>
        <v>1600</v>
      </c>
    </row>
    <row r="12" spans="1:35" ht="17.25" customHeight="1" x14ac:dyDescent="0.3">
      <c r="A12" s="227">
        <v>4</v>
      </c>
      <c r="B12" s="112" t="s">
        <v>198</v>
      </c>
      <c r="C12" s="112"/>
      <c r="D12" s="112"/>
      <c r="E12" s="112"/>
      <c r="F12" s="112"/>
      <c r="G12" s="112"/>
      <c r="H12" s="112"/>
      <c r="I12" s="112"/>
      <c r="J12" s="112"/>
      <c r="K12" s="117">
        <v>500</v>
      </c>
      <c r="L12" s="117">
        <v>500</v>
      </c>
      <c r="M12" s="117">
        <v>500</v>
      </c>
      <c r="N12" s="117">
        <v>500</v>
      </c>
      <c r="O12" s="117">
        <v>500</v>
      </c>
      <c r="P12" s="117">
        <v>500</v>
      </c>
      <c r="Q12" s="117">
        <v>500</v>
      </c>
      <c r="R12" s="117">
        <v>600</v>
      </c>
      <c r="S12" s="117">
        <v>500</v>
      </c>
      <c r="T12" s="117">
        <v>500</v>
      </c>
      <c r="U12" s="117">
        <v>500</v>
      </c>
      <c r="V12" s="117"/>
      <c r="W12" s="117"/>
      <c r="X12" s="117"/>
      <c r="Y12" s="117"/>
      <c r="Z12" s="117"/>
      <c r="AA12" s="117">
        <f t="shared" si="0"/>
        <v>5600</v>
      </c>
    </row>
    <row r="13" spans="1:35" ht="17.25" customHeight="1" x14ac:dyDescent="0.3">
      <c r="A13" s="227">
        <v>5</v>
      </c>
      <c r="B13" s="112" t="s">
        <v>196</v>
      </c>
      <c r="C13" s="112"/>
      <c r="D13" s="112"/>
      <c r="E13" s="112"/>
      <c r="F13" s="112"/>
      <c r="G13" s="112"/>
      <c r="H13" s="112"/>
      <c r="I13" s="112"/>
      <c r="J13" s="112"/>
      <c r="K13" s="117">
        <v>60</v>
      </c>
      <c r="L13" s="117">
        <v>60</v>
      </c>
      <c r="M13" s="117">
        <v>60</v>
      </c>
      <c r="N13" s="117">
        <v>60</v>
      </c>
      <c r="O13" s="117">
        <v>60</v>
      </c>
      <c r="P13" s="117">
        <v>60</v>
      </c>
      <c r="Q13" s="117">
        <v>60</v>
      </c>
      <c r="R13" s="117">
        <v>60</v>
      </c>
      <c r="S13" s="117">
        <v>60</v>
      </c>
      <c r="T13" s="117">
        <v>70</v>
      </c>
      <c r="U13" s="117">
        <v>60</v>
      </c>
      <c r="V13" s="117">
        <v>60</v>
      </c>
      <c r="W13" s="117"/>
      <c r="X13" s="117"/>
      <c r="Y13" s="117"/>
      <c r="Z13" s="117"/>
      <c r="AA13" s="117">
        <f t="shared" si="0"/>
        <v>730</v>
      </c>
    </row>
    <row r="14" spans="1:35" ht="17.25" customHeight="1" x14ac:dyDescent="0.3">
      <c r="A14" s="227">
        <v>6</v>
      </c>
      <c r="B14" s="112" t="s">
        <v>189</v>
      </c>
      <c r="C14" s="112"/>
      <c r="D14" s="112"/>
      <c r="E14" s="112"/>
      <c r="F14" s="112"/>
      <c r="G14" s="112"/>
      <c r="H14" s="112"/>
      <c r="I14" s="112"/>
      <c r="J14" s="112"/>
      <c r="K14" s="117">
        <v>250</v>
      </c>
      <c r="L14" s="117">
        <v>220</v>
      </c>
      <c r="M14" s="117">
        <v>230</v>
      </c>
      <c r="N14" s="117">
        <v>250</v>
      </c>
      <c r="O14" s="117">
        <v>240</v>
      </c>
      <c r="P14" s="117">
        <v>250</v>
      </c>
      <c r="Q14" s="117">
        <v>250</v>
      </c>
      <c r="R14" s="117">
        <v>250</v>
      </c>
      <c r="S14" s="117">
        <v>250</v>
      </c>
      <c r="T14" s="117">
        <v>250</v>
      </c>
      <c r="U14" s="117">
        <v>250</v>
      </c>
      <c r="V14" s="117"/>
      <c r="W14" s="117"/>
      <c r="X14" s="117"/>
      <c r="Y14" s="117"/>
      <c r="Z14" s="117"/>
      <c r="AA14" s="117">
        <f t="shared" si="0"/>
        <v>2690</v>
      </c>
      <c r="AG14" s="224"/>
      <c r="AH14" s="224"/>
      <c r="AI14" s="224"/>
    </row>
    <row r="15" spans="1:35" ht="17.25" customHeight="1" x14ac:dyDescent="0.3">
      <c r="A15" s="227">
        <v>7</v>
      </c>
      <c r="B15" s="112" t="s">
        <v>190</v>
      </c>
      <c r="C15" s="112"/>
      <c r="D15" s="112"/>
      <c r="E15" s="112"/>
      <c r="F15" s="112"/>
      <c r="G15" s="112"/>
      <c r="H15" s="112"/>
      <c r="I15" s="112"/>
      <c r="J15" s="112"/>
      <c r="K15" s="117">
        <v>200</v>
      </c>
      <c r="L15" s="117">
        <v>1100</v>
      </c>
      <c r="M15" s="117">
        <v>1600</v>
      </c>
      <c r="N15" s="117">
        <v>1100</v>
      </c>
      <c r="O15" s="117">
        <v>1100</v>
      </c>
      <c r="P15" s="117">
        <v>1100</v>
      </c>
      <c r="Q15" s="117">
        <v>1100</v>
      </c>
      <c r="R15" s="117">
        <v>1100</v>
      </c>
      <c r="S15" s="117">
        <v>1100</v>
      </c>
      <c r="T15" s="117">
        <v>1100</v>
      </c>
      <c r="U15" s="117">
        <v>1100</v>
      </c>
      <c r="V15" s="117"/>
      <c r="W15" s="117"/>
      <c r="X15" s="117"/>
      <c r="Y15" s="117"/>
      <c r="Z15" s="117"/>
      <c r="AA15" s="117">
        <f t="shared" si="0"/>
        <v>11700</v>
      </c>
      <c r="AG15" s="224"/>
      <c r="AH15" s="224"/>
      <c r="AI15" s="224"/>
    </row>
    <row r="16" spans="1:35" ht="17.25" customHeight="1" x14ac:dyDescent="0.3">
      <c r="A16" s="227">
        <v>8</v>
      </c>
      <c r="B16" s="112" t="s">
        <v>51</v>
      </c>
      <c r="C16" s="112"/>
      <c r="D16" s="112"/>
      <c r="E16" s="112"/>
      <c r="F16" s="112"/>
      <c r="G16" s="112"/>
      <c r="H16" s="112"/>
      <c r="I16" s="112"/>
      <c r="J16" s="112"/>
      <c r="K16" s="117">
        <v>1600</v>
      </c>
      <c r="L16" s="117">
        <v>1600</v>
      </c>
      <c r="M16" s="117">
        <v>1600</v>
      </c>
      <c r="N16" s="117">
        <v>1600</v>
      </c>
      <c r="O16" s="117">
        <v>1600</v>
      </c>
      <c r="P16" s="233">
        <v>1600</v>
      </c>
      <c r="Q16" s="117">
        <v>1600</v>
      </c>
      <c r="R16" s="117">
        <v>1600</v>
      </c>
      <c r="S16" s="117">
        <v>1600</v>
      </c>
      <c r="T16" s="117">
        <v>1600</v>
      </c>
      <c r="U16" s="117">
        <v>1850</v>
      </c>
      <c r="V16" s="117"/>
      <c r="W16" s="117"/>
      <c r="X16" s="117"/>
      <c r="Y16" s="117"/>
      <c r="Z16" s="117"/>
      <c r="AA16" s="117">
        <f t="shared" si="0"/>
        <v>17850</v>
      </c>
    </row>
    <row r="17" spans="1:35" ht="17.25" customHeight="1" x14ac:dyDescent="0.3">
      <c r="A17" s="227">
        <v>9</v>
      </c>
      <c r="B17" s="112" t="s">
        <v>187</v>
      </c>
      <c r="C17" s="112"/>
      <c r="D17" s="112"/>
      <c r="E17" s="112"/>
      <c r="F17" s="112"/>
      <c r="G17" s="112"/>
      <c r="H17" s="112"/>
      <c r="I17" s="112"/>
      <c r="J17" s="112"/>
      <c r="K17" s="117">
        <v>660</v>
      </c>
      <c r="L17" s="117">
        <v>660</v>
      </c>
      <c r="M17" s="117">
        <v>660</v>
      </c>
      <c r="N17" s="117">
        <v>660</v>
      </c>
      <c r="O17" s="117">
        <v>660</v>
      </c>
      <c r="P17" s="117">
        <v>660</v>
      </c>
      <c r="Q17" s="117">
        <v>660</v>
      </c>
      <c r="R17" s="117">
        <v>660</v>
      </c>
      <c r="S17" s="117">
        <v>800</v>
      </c>
      <c r="T17" s="117">
        <v>800</v>
      </c>
      <c r="U17" s="117">
        <v>800</v>
      </c>
      <c r="V17" s="117"/>
      <c r="W17" s="117"/>
      <c r="X17" s="117"/>
      <c r="Y17" s="117"/>
      <c r="Z17" s="117"/>
      <c r="AA17" s="117">
        <f t="shared" si="0"/>
        <v>7680</v>
      </c>
    </row>
    <row r="18" spans="1:35" ht="17.25" customHeight="1" x14ac:dyDescent="0.3">
      <c r="A18" s="227">
        <v>10</v>
      </c>
      <c r="B18" s="112" t="s">
        <v>188</v>
      </c>
      <c r="C18" s="112"/>
      <c r="D18" s="112"/>
      <c r="E18" s="112"/>
      <c r="F18" s="112"/>
      <c r="G18" s="112"/>
      <c r="H18" s="112"/>
      <c r="I18" s="112"/>
      <c r="J18" s="112"/>
      <c r="K18" s="117">
        <v>100</v>
      </c>
      <c r="L18" s="117">
        <v>100</v>
      </c>
      <c r="M18" s="117">
        <v>100</v>
      </c>
      <c r="N18" s="117">
        <v>100</v>
      </c>
      <c r="O18" s="117">
        <v>100</v>
      </c>
      <c r="P18" s="117">
        <v>100</v>
      </c>
      <c r="Q18" s="117">
        <v>100</v>
      </c>
      <c r="R18" s="117">
        <v>100</v>
      </c>
      <c r="S18" s="117">
        <v>100</v>
      </c>
      <c r="T18" s="117">
        <v>100</v>
      </c>
      <c r="U18" s="117">
        <v>100</v>
      </c>
      <c r="V18" s="117"/>
      <c r="W18" s="117"/>
      <c r="X18" s="117"/>
      <c r="Y18" s="117"/>
      <c r="Z18" s="117"/>
      <c r="AA18" s="117">
        <f t="shared" si="0"/>
        <v>1100</v>
      </c>
      <c r="AG18" s="224"/>
      <c r="AH18" s="224"/>
      <c r="AI18" s="224"/>
    </row>
    <row r="19" spans="1:35" ht="17.25" customHeight="1" x14ac:dyDescent="0.3">
      <c r="A19" s="227">
        <v>11</v>
      </c>
      <c r="B19" s="112" t="s">
        <v>254</v>
      </c>
      <c r="C19" s="112"/>
      <c r="D19" s="112"/>
      <c r="E19" s="112"/>
      <c r="F19" s="112"/>
      <c r="G19" s="112"/>
      <c r="H19" s="112"/>
      <c r="I19" s="112"/>
      <c r="J19" s="112"/>
      <c r="K19" s="117">
        <v>265</v>
      </c>
      <c r="L19" s="117">
        <v>265</v>
      </c>
      <c r="M19" s="117">
        <v>265</v>
      </c>
      <c r="N19" s="117">
        <v>265</v>
      </c>
      <c r="O19" s="117">
        <v>535</v>
      </c>
      <c r="P19" s="117">
        <v>265</v>
      </c>
      <c r="Q19" s="117">
        <v>670</v>
      </c>
      <c r="R19" s="117">
        <v>400</v>
      </c>
      <c r="S19" s="117">
        <v>400</v>
      </c>
      <c r="T19" s="117">
        <v>400</v>
      </c>
      <c r="U19" s="117">
        <v>400</v>
      </c>
      <c r="V19" s="117">
        <v>400</v>
      </c>
      <c r="W19" s="117"/>
      <c r="X19" s="117"/>
      <c r="Y19" s="117"/>
      <c r="Z19" s="117"/>
      <c r="AA19" s="117">
        <f t="shared" si="0"/>
        <v>4530</v>
      </c>
    </row>
    <row r="20" spans="1:35" ht="17.25" customHeight="1" x14ac:dyDescent="0.3">
      <c r="A20" s="227">
        <v>12</v>
      </c>
      <c r="B20" s="112" t="s">
        <v>195</v>
      </c>
      <c r="C20" s="112"/>
      <c r="D20" s="112"/>
      <c r="E20" s="112"/>
      <c r="F20" s="112"/>
      <c r="G20" s="112"/>
      <c r="H20" s="112"/>
      <c r="I20" s="112"/>
      <c r="J20" s="112"/>
      <c r="K20" s="117">
        <v>170</v>
      </c>
      <c r="L20" s="117">
        <v>200</v>
      </c>
      <c r="M20" s="117">
        <v>160</v>
      </c>
      <c r="N20" s="117">
        <v>150</v>
      </c>
      <c r="O20" s="117">
        <v>160</v>
      </c>
      <c r="P20" s="117">
        <v>180</v>
      </c>
      <c r="Q20" s="117">
        <v>150</v>
      </c>
      <c r="R20" s="117">
        <v>100</v>
      </c>
      <c r="S20" s="117">
        <v>130</v>
      </c>
      <c r="T20" s="117">
        <v>200</v>
      </c>
      <c r="U20" s="117">
        <v>150</v>
      </c>
      <c r="V20" s="117"/>
      <c r="W20" s="117"/>
      <c r="X20" s="117"/>
      <c r="Y20" s="117"/>
      <c r="Z20" s="117"/>
      <c r="AA20" s="117">
        <f t="shared" si="0"/>
        <v>1750</v>
      </c>
    </row>
    <row r="21" spans="1:35" ht="17.25" customHeight="1" x14ac:dyDescent="0.3">
      <c r="A21" s="227">
        <v>13</v>
      </c>
      <c r="B21" s="112" t="s">
        <v>131</v>
      </c>
      <c r="C21" s="112"/>
      <c r="D21" s="112"/>
      <c r="E21" s="112"/>
      <c r="F21" s="112"/>
      <c r="G21" s="112"/>
      <c r="H21" s="112"/>
      <c r="I21" s="112"/>
      <c r="J21" s="112"/>
      <c r="K21" s="117">
        <v>60</v>
      </c>
      <c r="L21" s="117">
        <v>60</v>
      </c>
      <c r="M21" s="117">
        <v>60</v>
      </c>
      <c r="N21" s="117">
        <v>60</v>
      </c>
      <c r="O21" s="117">
        <v>60</v>
      </c>
      <c r="P21" s="117">
        <v>60</v>
      </c>
      <c r="Q21" s="117">
        <v>60</v>
      </c>
      <c r="R21" s="117">
        <v>60</v>
      </c>
      <c r="S21" s="117">
        <v>60</v>
      </c>
      <c r="T21" s="117">
        <v>60</v>
      </c>
      <c r="U21" s="117">
        <v>60</v>
      </c>
      <c r="V21" s="117"/>
      <c r="W21" s="117"/>
      <c r="X21" s="117"/>
      <c r="Y21" s="117"/>
      <c r="Z21" s="117"/>
      <c r="AA21" s="117">
        <f t="shared" si="0"/>
        <v>660</v>
      </c>
    </row>
    <row r="22" spans="1:35" ht="17.25" customHeight="1" x14ac:dyDescent="0.3">
      <c r="A22" s="227">
        <v>14</v>
      </c>
      <c r="B22" s="112" t="s">
        <v>271</v>
      </c>
      <c r="C22" s="112"/>
      <c r="D22" s="112"/>
      <c r="E22" s="112"/>
      <c r="F22" s="112"/>
      <c r="G22" s="112"/>
      <c r="H22" s="112"/>
      <c r="I22" s="112"/>
      <c r="J22" s="112"/>
      <c r="K22" s="117">
        <v>350</v>
      </c>
      <c r="L22" s="117">
        <v>350</v>
      </c>
      <c r="M22" s="117">
        <v>350</v>
      </c>
      <c r="N22" s="117">
        <v>350</v>
      </c>
      <c r="O22" s="117">
        <v>353</v>
      </c>
      <c r="P22" s="117">
        <v>353</v>
      </c>
      <c r="Q22" s="117">
        <v>350</v>
      </c>
      <c r="R22" s="117">
        <v>350</v>
      </c>
      <c r="S22" s="117">
        <v>400</v>
      </c>
      <c r="T22" s="117">
        <v>370</v>
      </c>
      <c r="U22" s="117">
        <v>350</v>
      </c>
      <c r="V22" s="117">
        <v>355</v>
      </c>
      <c r="W22" s="117"/>
      <c r="X22" s="117"/>
      <c r="Y22" s="117"/>
      <c r="Z22" s="117"/>
      <c r="AA22" s="117">
        <f t="shared" si="0"/>
        <v>4281</v>
      </c>
    </row>
    <row r="23" spans="1:35" ht="17.25" customHeight="1" x14ac:dyDescent="0.3">
      <c r="A23" s="227">
        <v>15</v>
      </c>
      <c r="B23" s="112" t="s">
        <v>418</v>
      </c>
      <c r="C23" s="112"/>
      <c r="D23" s="112"/>
      <c r="E23" s="112"/>
      <c r="F23" s="112"/>
      <c r="G23" s="112"/>
      <c r="H23" s="112"/>
      <c r="I23" s="112"/>
      <c r="J23" s="112"/>
      <c r="K23" s="117">
        <v>50</v>
      </c>
      <c r="L23" s="117">
        <v>70</v>
      </c>
      <c r="M23" s="117">
        <f>60+100+50</f>
        <v>210</v>
      </c>
      <c r="N23" s="117">
        <v>100</v>
      </c>
      <c r="O23" s="117">
        <v>50</v>
      </c>
      <c r="P23" s="117">
        <v>100</v>
      </c>
      <c r="Q23" s="117">
        <v>50</v>
      </c>
      <c r="R23" s="117">
        <v>100</v>
      </c>
      <c r="S23" s="117">
        <v>100</v>
      </c>
      <c r="T23" s="117">
        <v>100</v>
      </c>
      <c r="U23" s="117"/>
      <c r="V23" s="117"/>
      <c r="W23" s="117"/>
      <c r="X23" s="117"/>
      <c r="Y23" s="117"/>
      <c r="Z23" s="117"/>
      <c r="AA23" s="117">
        <f t="shared" si="0"/>
        <v>930</v>
      </c>
    </row>
    <row r="24" spans="1:35" ht="17.25" customHeight="1" x14ac:dyDescent="0.3">
      <c r="A24" s="227">
        <v>16</v>
      </c>
      <c r="B24" s="112" t="s">
        <v>412</v>
      </c>
      <c r="C24" s="112"/>
      <c r="D24" s="112"/>
      <c r="E24" s="112"/>
      <c r="F24" s="112"/>
      <c r="G24" s="112"/>
      <c r="H24" s="112"/>
      <c r="I24" s="112"/>
      <c r="J24" s="112"/>
      <c r="K24" s="117">
        <v>100</v>
      </c>
      <c r="L24" s="117">
        <v>100</v>
      </c>
      <c r="M24" s="117">
        <v>100</v>
      </c>
      <c r="N24" s="117">
        <v>100</v>
      </c>
      <c r="O24" s="117">
        <v>100</v>
      </c>
      <c r="P24" s="117">
        <v>100</v>
      </c>
      <c r="Q24" s="117">
        <v>100</v>
      </c>
      <c r="R24" s="117">
        <v>100</v>
      </c>
      <c r="S24" s="117">
        <v>100</v>
      </c>
      <c r="T24" s="117">
        <v>300</v>
      </c>
      <c r="U24" s="117">
        <v>300</v>
      </c>
      <c r="V24" s="117"/>
      <c r="W24" s="117"/>
      <c r="X24" s="117"/>
      <c r="Y24" s="117"/>
      <c r="Z24" s="117"/>
      <c r="AA24" s="117">
        <f t="shared" si="0"/>
        <v>1500</v>
      </c>
    </row>
    <row r="25" spans="1:35" ht="17.25" customHeight="1" x14ac:dyDescent="0.3">
      <c r="A25" s="227">
        <v>17</v>
      </c>
      <c r="B25" s="112" t="s">
        <v>268</v>
      </c>
      <c r="C25" s="112"/>
      <c r="D25" s="112"/>
      <c r="E25" s="112"/>
      <c r="F25" s="112"/>
      <c r="G25" s="112">
        <v>100</v>
      </c>
      <c r="H25" s="112">
        <v>100</v>
      </c>
      <c r="I25" s="112">
        <v>100</v>
      </c>
      <c r="J25" s="112">
        <v>100</v>
      </c>
      <c r="K25" s="117">
        <v>100</v>
      </c>
      <c r="L25" s="117">
        <v>100</v>
      </c>
      <c r="M25" s="117">
        <v>100</v>
      </c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>
        <f t="shared" si="0"/>
        <v>700</v>
      </c>
    </row>
    <row r="26" spans="1:35" ht="17.25" customHeight="1" x14ac:dyDescent="0.3">
      <c r="A26" s="227">
        <v>18</v>
      </c>
      <c r="B26" s="112" t="s">
        <v>194</v>
      </c>
      <c r="C26" s="112"/>
      <c r="D26" s="112"/>
      <c r="E26" s="112">
        <v>100</v>
      </c>
      <c r="F26" s="112">
        <v>100</v>
      </c>
      <c r="G26" s="112">
        <v>100</v>
      </c>
      <c r="H26" s="112">
        <v>100</v>
      </c>
      <c r="I26" s="112">
        <v>100</v>
      </c>
      <c r="J26" s="112">
        <v>100</v>
      </c>
      <c r="K26" s="117">
        <v>150</v>
      </c>
      <c r="L26" s="117">
        <v>150</v>
      </c>
      <c r="M26" s="117">
        <v>150</v>
      </c>
      <c r="N26" s="117">
        <v>150</v>
      </c>
      <c r="O26" s="117">
        <v>150</v>
      </c>
      <c r="P26" s="117">
        <v>150</v>
      </c>
      <c r="Q26" s="117">
        <v>150</v>
      </c>
      <c r="R26" s="117">
        <v>150</v>
      </c>
      <c r="S26" s="117"/>
      <c r="T26" s="117"/>
      <c r="U26" s="117"/>
      <c r="V26" s="117"/>
      <c r="W26" s="117"/>
      <c r="X26" s="117"/>
      <c r="Y26" s="117"/>
      <c r="Z26" s="117"/>
      <c r="AA26" s="117">
        <f t="shared" si="0"/>
        <v>1800</v>
      </c>
    </row>
    <row r="27" spans="1:35" ht="17.25" customHeight="1" x14ac:dyDescent="0.3">
      <c r="A27" s="227">
        <v>19</v>
      </c>
      <c r="B27" s="112" t="s">
        <v>108</v>
      </c>
      <c r="C27" s="112"/>
      <c r="D27" s="112"/>
      <c r="E27" s="112"/>
      <c r="F27" s="112"/>
      <c r="G27" s="112"/>
      <c r="H27" s="112"/>
      <c r="I27" s="112"/>
      <c r="J27" s="112">
        <v>400</v>
      </c>
      <c r="K27" s="117">
        <v>400</v>
      </c>
      <c r="L27" s="117">
        <v>400</v>
      </c>
      <c r="M27" s="117">
        <v>400</v>
      </c>
      <c r="N27" s="117">
        <v>400</v>
      </c>
      <c r="O27" s="117">
        <v>400</v>
      </c>
      <c r="P27" s="117">
        <v>400</v>
      </c>
      <c r="Q27" s="117">
        <v>400</v>
      </c>
      <c r="R27" s="117">
        <v>400</v>
      </c>
      <c r="S27" s="117">
        <v>400</v>
      </c>
      <c r="T27" s="117">
        <v>400</v>
      </c>
      <c r="U27" s="117">
        <v>400</v>
      </c>
      <c r="V27" s="117"/>
      <c r="W27" s="117"/>
      <c r="X27" s="117"/>
      <c r="Y27" s="117"/>
      <c r="Z27" s="117"/>
      <c r="AA27" s="117">
        <f t="shared" si="0"/>
        <v>4800</v>
      </c>
    </row>
    <row r="28" spans="1:35" ht="17.25" customHeight="1" x14ac:dyDescent="0.3">
      <c r="A28" s="227">
        <v>20</v>
      </c>
      <c r="B28" s="112" t="s">
        <v>408</v>
      </c>
      <c r="C28" s="112"/>
      <c r="D28" s="112"/>
      <c r="E28" s="112"/>
      <c r="F28" s="112"/>
      <c r="G28" s="112"/>
      <c r="H28" s="112"/>
      <c r="I28" s="112"/>
      <c r="J28" s="112">
        <v>50</v>
      </c>
      <c r="K28" s="117">
        <v>20</v>
      </c>
      <c r="L28" s="117">
        <v>50</v>
      </c>
      <c r="M28" s="117">
        <v>40</v>
      </c>
      <c r="N28" s="117">
        <v>50</v>
      </c>
      <c r="O28" s="117">
        <v>50</v>
      </c>
      <c r="P28" s="117">
        <v>50</v>
      </c>
      <c r="Q28" s="117">
        <v>50</v>
      </c>
      <c r="R28" s="117">
        <v>50</v>
      </c>
      <c r="S28" s="117">
        <v>50</v>
      </c>
      <c r="T28" s="117">
        <v>50</v>
      </c>
      <c r="U28" s="117">
        <v>50</v>
      </c>
      <c r="V28" s="117">
        <v>100</v>
      </c>
      <c r="W28" s="117"/>
      <c r="X28" s="117"/>
      <c r="Y28" s="117"/>
      <c r="Z28" s="117"/>
      <c r="AA28" s="117">
        <f t="shared" si="0"/>
        <v>660</v>
      </c>
    </row>
    <row r="29" spans="1:35" ht="17.25" customHeight="1" x14ac:dyDescent="0.3">
      <c r="A29" s="227">
        <v>21</v>
      </c>
      <c r="B29" s="112" t="s">
        <v>269</v>
      </c>
      <c r="C29" s="112"/>
      <c r="D29" s="112"/>
      <c r="E29" s="112"/>
      <c r="F29" s="112"/>
      <c r="G29" s="112"/>
      <c r="H29" s="112"/>
      <c r="I29" s="112"/>
      <c r="J29" s="112"/>
      <c r="K29" s="117">
        <v>55</v>
      </c>
      <c r="L29" s="117"/>
      <c r="M29" s="117"/>
      <c r="N29" s="117"/>
      <c r="O29" s="117"/>
      <c r="P29" s="117">
        <v>0</v>
      </c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>
        <f>SUM(C29:Z29)</f>
        <v>55</v>
      </c>
    </row>
    <row r="30" spans="1:35" ht="17.25" customHeight="1" x14ac:dyDescent="0.3">
      <c r="A30" s="227">
        <v>22</v>
      </c>
      <c r="B30" s="112" t="s">
        <v>255</v>
      </c>
      <c r="C30" s="112"/>
      <c r="D30" s="112"/>
      <c r="E30" s="112"/>
      <c r="F30" s="112"/>
      <c r="G30" s="112"/>
      <c r="H30" s="112"/>
      <c r="I30" s="112"/>
      <c r="J30" s="112"/>
      <c r="K30" s="117">
        <v>20</v>
      </c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>
        <f t="shared" si="0"/>
        <v>20</v>
      </c>
    </row>
    <row r="31" spans="1:35" ht="17.25" customHeight="1" x14ac:dyDescent="0.3">
      <c r="A31" s="227">
        <v>23</v>
      </c>
      <c r="B31" s="112" t="s">
        <v>252</v>
      </c>
      <c r="C31" s="112"/>
      <c r="D31" s="112"/>
      <c r="E31" s="112"/>
      <c r="F31" s="112"/>
      <c r="G31" s="112"/>
      <c r="H31" s="112"/>
      <c r="I31" s="112"/>
      <c r="J31" s="112"/>
      <c r="K31" s="117">
        <v>1505</v>
      </c>
      <c r="L31" s="117">
        <v>1520</v>
      </c>
      <c r="M31" s="117">
        <v>1520</v>
      </c>
      <c r="N31" s="117">
        <v>1520</v>
      </c>
      <c r="O31" s="117">
        <v>1600</v>
      </c>
      <c r="P31" s="117">
        <v>1700</v>
      </c>
      <c r="Q31" s="117">
        <v>1000</v>
      </c>
      <c r="R31" s="117">
        <v>1750</v>
      </c>
      <c r="S31" s="117">
        <v>1800</v>
      </c>
      <c r="T31" s="117"/>
      <c r="U31" s="117"/>
      <c r="V31" s="117"/>
      <c r="W31" s="117"/>
      <c r="X31" s="117"/>
      <c r="Y31" s="117"/>
      <c r="Z31" s="117"/>
      <c r="AA31" s="117">
        <f t="shared" si="0"/>
        <v>13915</v>
      </c>
    </row>
    <row r="32" spans="1:35" ht="17.25" customHeight="1" x14ac:dyDescent="0.3">
      <c r="A32" s="227">
        <v>24</v>
      </c>
      <c r="B32" s="112" t="s">
        <v>417</v>
      </c>
      <c r="C32" s="112"/>
      <c r="D32" s="112"/>
      <c r="E32" s="112"/>
      <c r="F32" s="112"/>
      <c r="G32" s="112"/>
      <c r="H32" s="112"/>
      <c r="I32" s="112"/>
      <c r="J32" s="112"/>
      <c r="K32" s="117">
        <v>30</v>
      </c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>
        <f t="shared" si="0"/>
        <v>30</v>
      </c>
    </row>
    <row r="33" spans="1:35" ht="17.25" customHeight="1" x14ac:dyDescent="0.3">
      <c r="A33" s="227">
        <v>25</v>
      </c>
      <c r="B33" s="112" t="s">
        <v>411</v>
      </c>
      <c r="C33" s="112"/>
      <c r="D33" s="112"/>
      <c r="E33" s="112"/>
      <c r="F33" s="112"/>
      <c r="G33" s="112"/>
      <c r="H33" s="112"/>
      <c r="I33" s="112"/>
      <c r="J33" s="112"/>
      <c r="K33" s="117">
        <v>150</v>
      </c>
      <c r="L33" s="117">
        <v>150</v>
      </c>
      <c r="M33" s="117">
        <v>150</v>
      </c>
      <c r="N33" s="117">
        <v>150</v>
      </c>
      <c r="O33" s="117">
        <v>350</v>
      </c>
      <c r="P33" s="117">
        <v>180</v>
      </c>
      <c r="Q33" s="117">
        <v>180</v>
      </c>
      <c r="R33" s="117">
        <v>360</v>
      </c>
      <c r="S33" s="117">
        <v>360</v>
      </c>
      <c r="T33" s="117">
        <v>360</v>
      </c>
      <c r="U33" s="117">
        <v>360</v>
      </c>
      <c r="V33" s="117"/>
      <c r="W33" s="117"/>
      <c r="X33" s="117"/>
      <c r="Y33" s="117"/>
      <c r="Z33" s="117"/>
      <c r="AA33" s="117">
        <f t="shared" si="0"/>
        <v>2750</v>
      </c>
    </row>
    <row r="34" spans="1:35" ht="17.25" customHeight="1" x14ac:dyDescent="0.3">
      <c r="A34" s="227">
        <v>26</v>
      </c>
      <c r="B34" s="112" t="s">
        <v>414</v>
      </c>
      <c r="C34" s="112"/>
      <c r="D34" s="112"/>
      <c r="E34" s="112"/>
      <c r="F34" s="112"/>
      <c r="G34" s="112"/>
      <c r="H34" s="112"/>
      <c r="I34" s="112"/>
      <c r="J34" s="112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>
        <f t="shared" si="0"/>
        <v>0</v>
      </c>
    </row>
    <row r="35" spans="1:35" ht="17.25" customHeight="1" x14ac:dyDescent="0.3">
      <c r="A35" s="227">
        <v>27</v>
      </c>
      <c r="B35" s="112" t="s">
        <v>203</v>
      </c>
      <c r="C35" s="112"/>
      <c r="D35" s="112"/>
      <c r="E35" s="112"/>
      <c r="F35" s="112"/>
      <c r="G35" s="112"/>
      <c r="H35" s="112"/>
      <c r="I35" s="112"/>
      <c r="J35" s="112">
        <v>10</v>
      </c>
      <c r="K35" s="117">
        <v>10</v>
      </c>
      <c r="L35" s="117">
        <v>20</v>
      </c>
      <c r="M35" s="117">
        <v>20</v>
      </c>
      <c r="N35" s="117">
        <v>20</v>
      </c>
      <c r="O35" s="117">
        <v>20</v>
      </c>
      <c r="P35" s="117">
        <v>20</v>
      </c>
      <c r="Q35" s="117">
        <v>20</v>
      </c>
      <c r="R35" s="117">
        <v>20</v>
      </c>
      <c r="S35" s="117">
        <v>20</v>
      </c>
      <c r="T35" s="117">
        <v>20</v>
      </c>
      <c r="U35" s="117">
        <v>20</v>
      </c>
      <c r="V35" s="117">
        <v>20</v>
      </c>
      <c r="W35" s="117"/>
      <c r="X35" s="117"/>
      <c r="Y35" s="117"/>
      <c r="Z35" s="117"/>
      <c r="AA35" s="117">
        <f t="shared" si="0"/>
        <v>240</v>
      </c>
      <c r="AI35" s="224"/>
    </row>
    <row r="36" spans="1:35" ht="17.25" customHeight="1" x14ac:dyDescent="0.3">
      <c r="A36" s="227">
        <v>28</v>
      </c>
      <c r="B36" s="112" t="s">
        <v>216</v>
      </c>
      <c r="C36" s="112"/>
      <c r="D36" s="112"/>
      <c r="E36" s="112"/>
      <c r="F36" s="112"/>
      <c r="G36" s="112"/>
      <c r="H36" s="112"/>
      <c r="I36" s="112"/>
      <c r="J36" s="112"/>
      <c r="K36" s="117">
        <v>40</v>
      </c>
      <c r="L36" s="117">
        <v>40</v>
      </c>
      <c r="M36" s="117">
        <v>40</v>
      </c>
      <c r="N36" s="117">
        <v>40</v>
      </c>
      <c r="O36" s="117">
        <v>40</v>
      </c>
      <c r="P36" s="117">
        <v>40</v>
      </c>
      <c r="Q36" s="117">
        <v>40</v>
      </c>
      <c r="R36" s="117">
        <v>40</v>
      </c>
      <c r="S36" s="117">
        <v>40</v>
      </c>
      <c r="T36" s="117">
        <v>40</v>
      </c>
      <c r="U36" s="117">
        <v>40</v>
      </c>
      <c r="V36" s="117">
        <v>40</v>
      </c>
      <c r="W36" s="117"/>
      <c r="X36" s="117"/>
      <c r="Y36" s="117"/>
      <c r="Z36" s="117"/>
      <c r="AA36" s="117">
        <f t="shared" si="0"/>
        <v>480</v>
      </c>
    </row>
    <row r="37" spans="1:35" ht="17.25" customHeight="1" x14ac:dyDescent="0.3">
      <c r="A37" s="227">
        <v>29</v>
      </c>
      <c r="B37" s="112" t="s">
        <v>409</v>
      </c>
      <c r="C37" s="112"/>
      <c r="D37" s="112"/>
      <c r="E37" s="112"/>
      <c r="F37" s="112"/>
      <c r="G37" s="112"/>
      <c r="H37" s="112"/>
      <c r="I37" s="112"/>
      <c r="J37" s="112"/>
      <c r="K37" s="117">
        <v>60</v>
      </c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>
        <f t="shared" si="0"/>
        <v>60</v>
      </c>
    </row>
    <row r="38" spans="1:35" ht="17.25" customHeight="1" x14ac:dyDescent="0.3">
      <c r="A38" s="227">
        <v>30</v>
      </c>
      <c r="B38" s="112" t="s">
        <v>410</v>
      </c>
      <c r="C38" s="112"/>
      <c r="D38" s="112"/>
      <c r="E38" s="112"/>
      <c r="F38" s="112"/>
      <c r="G38" s="112"/>
      <c r="H38" s="112"/>
      <c r="I38" s="112"/>
      <c r="J38" s="112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>
        <f t="shared" si="0"/>
        <v>0</v>
      </c>
    </row>
    <row r="39" spans="1:35" ht="17.25" customHeight="1" x14ac:dyDescent="0.3">
      <c r="A39" s="227">
        <v>31</v>
      </c>
      <c r="B39" s="112" t="s">
        <v>251</v>
      </c>
      <c r="C39" s="112"/>
      <c r="D39" s="112"/>
      <c r="E39" s="112"/>
      <c r="F39" s="112"/>
      <c r="G39" s="112"/>
      <c r="H39" s="112">
        <v>20</v>
      </c>
      <c r="I39" s="112">
        <v>20</v>
      </c>
      <c r="J39" s="112">
        <v>20</v>
      </c>
      <c r="K39" s="117">
        <v>20</v>
      </c>
      <c r="L39" s="117">
        <v>20</v>
      </c>
      <c r="M39" s="117">
        <v>20</v>
      </c>
      <c r="N39" s="117">
        <v>20</v>
      </c>
      <c r="O39" s="117">
        <v>20</v>
      </c>
      <c r="P39" s="117">
        <v>20</v>
      </c>
      <c r="Q39" s="117">
        <v>20</v>
      </c>
      <c r="R39" s="117">
        <v>20</v>
      </c>
      <c r="S39" s="117">
        <v>20</v>
      </c>
      <c r="T39" s="117"/>
      <c r="U39" s="117"/>
      <c r="V39" s="117"/>
      <c r="W39" s="117"/>
      <c r="X39" s="117"/>
      <c r="Y39" s="117"/>
      <c r="Z39" s="117"/>
      <c r="AA39" s="117">
        <f t="shared" si="0"/>
        <v>240</v>
      </c>
    </row>
    <row r="40" spans="1:35" ht="17.25" customHeight="1" x14ac:dyDescent="0.3">
      <c r="A40" s="227">
        <v>32</v>
      </c>
      <c r="B40" s="112" t="s">
        <v>212</v>
      </c>
      <c r="C40" s="112"/>
      <c r="D40" s="112"/>
      <c r="E40" s="112"/>
      <c r="F40" s="112"/>
      <c r="G40" s="112"/>
      <c r="H40" s="112">
        <v>100</v>
      </c>
      <c r="I40" s="112">
        <v>100</v>
      </c>
      <c r="J40" s="112">
        <v>100</v>
      </c>
      <c r="K40" s="117">
        <v>100</v>
      </c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>
        <f t="shared" si="0"/>
        <v>400</v>
      </c>
    </row>
    <row r="41" spans="1:35" ht="17.25" customHeight="1" x14ac:dyDescent="0.3">
      <c r="A41" s="227">
        <v>33</v>
      </c>
      <c r="B41" s="112" t="s">
        <v>307</v>
      </c>
      <c r="C41" s="112"/>
      <c r="D41" s="112"/>
      <c r="E41" s="112"/>
      <c r="F41" s="112"/>
      <c r="G41" s="112"/>
      <c r="H41" s="117">
        <v>10</v>
      </c>
      <c r="I41" s="117">
        <v>10</v>
      </c>
      <c r="J41" s="117">
        <v>10</v>
      </c>
      <c r="K41" s="117">
        <v>10</v>
      </c>
      <c r="L41" s="117">
        <v>10</v>
      </c>
      <c r="M41" s="117">
        <v>10</v>
      </c>
      <c r="N41" s="117">
        <v>10</v>
      </c>
      <c r="O41" s="117">
        <v>10</v>
      </c>
      <c r="P41" s="117">
        <v>10</v>
      </c>
      <c r="Q41" s="117">
        <v>10</v>
      </c>
      <c r="R41" s="117">
        <v>10</v>
      </c>
      <c r="S41" s="117">
        <v>10</v>
      </c>
      <c r="T41" s="117">
        <v>10</v>
      </c>
      <c r="U41" s="117">
        <v>10</v>
      </c>
      <c r="V41" s="117">
        <v>10</v>
      </c>
      <c r="W41" s="117"/>
      <c r="X41" s="117"/>
      <c r="Y41" s="117"/>
      <c r="Z41" s="117"/>
      <c r="AA41" s="117">
        <f t="shared" si="0"/>
        <v>150</v>
      </c>
    </row>
    <row r="42" spans="1:35" ht="17.25" customHeight="1" x14ac:dyDescent="0.3">
      <c r="A42" s="227">
        <v>34</v>
      </c>
      <c r="B42" s="112" t="s">
        <v>219</v>
      </c>
      <c r="C42" s="112"/>
      <c r="D42" s="112"/>
      <c r="E42" s="112"/>
      <c r="F42" s="112"/>
      <c r="G42" s="112"/>
      <c r="H42" s="112"/>
      <c r="I42" s="112"/>
      <c r="J42" s="112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>
        <f t="shared" si="0"/>
        <v>0</v>
      </c>
    </row>
    <row r="43" spans="1:35" ht="17.25" customHeight="1" x14ac:dyDescent="0.3">
      <c r="A43" s="227">
        <v>35</v>
      </c>
      <c r="B43" s="112" t="s">
        <v>193</v>
      </c>
      <c r="C43" s="112"/>
      <c r="D43" s="112"/>
      <c r="E43" s="112">
        <v>50</v>
      </c>
      <c r="F43" s="112">
        <v>50</v>
      </c>
      <c r="G43" s="112">
        <v>50</v>
      </c>
      <c r="H43" s="112">
        <v>50</v>
      </c>
      <c r="I43" s="112">
        <v>50</v>
      </c>
      <c r="J43" s="112">
        <v>50</v>
      </c>
      <c r="K43" s="117">
        <v>50</v>
      </c>
      <c r="L43" s="117">
        <v>50</v>
      </c>
      <c r="M43" s="117">
        <v>50</v>
      </c>
      <c r="N43" s="117">
        <v>50</v>
      </c>
      <c r="O43" s="117">
        <v>50</v>
      </c>
      <c r="P43" s="117">
        <v>50</v>
      </c>
      <c r="Q43" s="117">
        <v>50</v>
      </c>
      <c r="R43" s="117">
        <v>50</v>
      </c>
      <c r="S43" s="117">
        <v>50</v>
      </c>
      <c r="T43" s="117">
        <v>50</v>
      </c>
      <c r="U43" s="117">
        <v>50</v>
      </c>
      <c r="V43" s="117">
        <v>50</v>
      </c>
      <c r="W43" s="117"/>
      <c r="X43" s="117"/>
      <c r="Y43" s="117"/>
      <c r="Z43" s="117"/>
      <c r="AA43" s="117">
        <f t="shared" si="0"/>
        <v>900</v>
      </c>
      <c r="AG43" s="224"/>
      <c r="AH43" s="224"/>
      <c r="AI43" s="224"/>
    </row>
    <row r="44" spans="1:35" ht="17.25" customHeight="1" x14ac:dyDescent="0.3">
      <c r="A44" s="227">
        <v>36</v>
      </c>
      <c r="B44" s="112" t="s">
        <v>427</v>
      </c>
      <c r="C44" s="112"/>
      <c r="D44" s="112"/>
      <c r="E44" s="112"/>
      <c r="F44" s="112"/>
      <c r="G44" s="112"/>
      <c r="H44" s="112"/>
      <c r="I44" s="112"/>
      <c r="J44" s="112"/>
      <c r="K44" s="117"/>
      <c r="L44" s="117"/>
      <c r="M44" s="117"/>
      <c r="N44" s="117">
        <v>10</v>
      </c>
      <c r="O44" s="117">
        <v>10</v>
      </c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>
        <f t="shared" si="0"/>
        <v>20</v>
      </c>
      <c r="AG44" s="224"/>
      <c r="AH44" s="224"/>
      <c r="AI44" s="224"/>
    </row>
    <row r="45" spans="1:35" ht="17.25" customHeight="1" x14ac:dyDescent="0.3">
      <c r="A45" s="227">
        <v>37</v>
      </c>
      <c r="B45" s="112" t="s">
        <v>273</v>
      </c>
      <c r="C45" s="112"/>
      <c r="D45" s="112"/>
      <c r="E45" s="112"/>
      <c r="F45" s="112"/>
      <c r="G45" s="112"/>
      <c r="H45" s="112"/>
      <c r="I45" s="112"/>
      <c r="J45" s="112"/>
      <c r="K45" s="117">
        <v>20</v>
      </c>
      <c r="L45" s="117">
        <v>20</v>
      </c>
      <c r="M45" s="117">
        <v>20</v>
      </c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>
        <f t="shared" si="0"/>
        <v>60</v>
      </c>
    </row>
    <row r="46" spans="1:35" ht="17.25" customHeight="1" x14ac:dyDescent="0.3">
      <c r="A46" s="227">
        <v>38</v>
      </c>
      <c r="B46" s="112" t="s">
        <v>247</v>
      </c>
      <c r="C46" s="112"/>
      <c r="D46" s="112"/>
      <c r="E46" s="112"/>
      <c r="F46" s="112"/>
      <c r="G46" s="112"/>
      <c r="H46" s="112"/>
      <c r="I46" s="112"/>
      <c r="J46" s="112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>
        <f t="shared" si="0"/>
        <v>0</v>
      </c>
    </row>
    <row r="47" spans="1:35" ht="17.25" customHeight="1" x14ac:dyDescent="0.3">
      <c r="A47" s="227">
        <v>39</v>
      </c>
      <c r="B47" s="112" t="s">
        <v>264</v>
      </c>
      <c r="C47" s="112"/>
      <c r="D47" s="112"/>
      <c r="E47" s="112"/>
      <c r="F47" s="112"/>
      <c r="G47" s="112"/>
      <c r="H47" s="112"/>
      <c r="I47" s="112"/>
      <c r="J47" s="112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>
        <f t="shared" si="0"/>
        <v>0</v>
      </c>
    </row>
    <row r="48" spans="1:35" ht="17.25" customHeight="1" x14ac:dyDescent="0.3">
      <c r="A48" s="227">
        <v>40</v>
      </c>
      <c r="B48" s="112" t="s">
        <v>270</v>
      </c>
      <c r="C48" s="112"/>
      <c r="D48" s="112"/>
      <c r="E48" s="112"/>
      <c r="F48" s="112"/>
      <c r="G48" s="112"/>
      <c r="H48" s="112"/>
      <c r="I48" s="112"/>
      <c r="J48" s="112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>
        <f t="shared" si="0"/>
        <v>0</v>
      </c>
    </row>
    <row r="49" spans="1:27" ht="17.25" customHeight="1" x14ac:dyDescent="0.3">
      <c r="A49" s="227">
        <v>41</v>
      </c>
      <c r="B49" s="112" t="s">
        <v>272</v>
      </c>
      <c r="C49" s="112"/>
      <c r="D49" s="112"/>
      <c r="E49" s="112"/>
      <c r="F49" s="112"/>
      <c r="G49" s="112"/>
      <c r="H49" s="112"/>
      <c r="I49" s="112"/>
      <c r="J49" s="112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>
        <f t="shared" si="0"/>
        <v>0</v>
      </c>
    </row>
    <row r="50" spans="1:27" ht="17.25" customHeight="1" x14ac:dyDescent="0.3">
      <c r="A50" s="227">
        <v>42</v>
      </c>
      <c r="B50" s="112" t="s">
        <v>267</v>
      </c>
      <c r="C50" s="112"/>
      <c r="D50" s="112"/>
      <c r="E50" s="112"/>
      <c r="F50" s="112"/>
      <c r="G50" s="112"/>
      <c r="H50" s="112"/>
      <c r="I50" s="112"/>
      <c r="J50" s="112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>
        <f t="shared" si="0"/>
        <v>0</v>
      </c>
    </row>
    <row r="51" spans="1:27" ht="17.25" customHeight="1" x14ac:dyDescent="0.3">
      <c r="A51" s="227">
        <v>43</v>
      </c>
      <c r="B51" s="112" t="s">
        <v>215</v>
      </c>
      <c r="C51" s="112"/>
      <c r="D51" s="112"/>
      <c r="E51" s="112"/>
      <c r="F51" s="112"/>
      <c r="G51" s="112"/>
      <c r="H51" s="112"/>
      <c r="I51" s="112"/>
      <c r="J51" s="112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>
        <f t="shared" si="0"/>
        <v>0</v>
      </c>
    </row>
    <row r="52" spans="1:27" ht="17.25" customHeight="1" x14ac:dyDescent="0.3">
      <c r="A52" s="227">
        <v>44</v>
      </c>
      <c r="B52" s="112" t="s">
        <v>200</v>
      </c>
      <c r="C52" s="112"/>
      <c r="D52" s="112"/>
      <c r="E52" s="112"/>
      <c r="F52" s="112"/>
      <c r="G52" s="112"/>
      <c r="H52" s="112"/>
      <c r="I52" s="112"/>
      <c r="J52" s="112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>
        <f t="shared" si="0"/>
        <v>0</v>
      </c>
    </row>
    <row r="53" spans="1:27" ht="17.25" customHeight="1" x14ac:dyDescent="0.3">
      <c r="A53" s="227">
        <v>45</v>
      </c>
      <c r="B53" s="112" t="s">
        <v>213</v>
      </c>
      <c r="C53" s="112"/>
      <c r="D53" s="112"/>
      <c r="E53" s="112"/>
      <c r="F53" s="112"/>
      <c r="G53" s="112"/>
      <c r="H53" s="112"/>
      <c r="I53" s="112"/>
      <c r="J53" s="112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>
        <f t="shared" si="0"/>
        <v>0</v>
      </c>
    </row>
    <row r="54" spans="1:27" ht="17.25" customHeight="1" x14ac:dyDescent="0.3">
      <c r="A54" s="227">
        <v>46</v>
      </c>
      <c r="B54" s="112" t="s">
        <v>245</v>
      </c>
      <c r="C54" s="112"/>
      <c r="D54" s="112"/>
      <c r="E54" s="112"/>
      <c r="F54" s="112"/>
      <c r="G54" s="112"/>
      <c r="H54" s="112"/>
      <c r="I54" s="112"/>
      <c r="J54" s="112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>
        <f t="shared" si="0"/>
        <v>0</v>
      </c>
    </row>
    <row r="55" spans="1:27" ht="17.25" customHeight="1" x14ac:dyDescent="0.3">
      <c r="A55" s="227">
        <v>47</v>
      </c>
      <c r="B55" s="112" t="s">
        <v>197</v>
      </c>
      <c r="C55" s="112"/>
      <c r="D55" s="112"/>
      <c r="E55" s="112"/>
      <c r="F55" s="112"/>
      <c r="G55" s="112"/>
      <c r="H55" s="112"/>
      <c r="I55" s="112"/>
      <c r="J55" s="112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>
        <f t="shared" si="0"/>
        <v>0</v>
      </c>
    </row>
    <row r="56" spans="1:27" ht="17.25" customHeight="1" x14ac:dyDescent="0.3">
      <c r="A56" s="227">
        <v>48</v>
      </c>
      <c r="B56" s="112" t="s">
        <v>199</v>
      </c>
      <c r="C56" s="112"/>
      <c r="D56" s="112"/>
      <c r="E56" s="112"/>
      <c r="F56" s="112"/>
      <c r="G56" s="112"/>
      <c r="H56" s="112"/>
      <c r="I56" s="112"/>
      <c r="J56" s="112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>
        <f t="shared" si="0"/>
        <v>0</v>
      </c>
    </row>
    <row r="57" spans="1:27" ht="17.25" customHeight="1" x14ac:dyDescent="0.3">
      <c r="A57" s="227">
        <v>49</v>
      </c>
      <c r="B57" s="112" t="s">
        <v>256</v>
      </c>
      <c r="C57" s="112"/>
      <c r="D57" s="112"/>
      <c r="E57" s="112"/>
      <c r="F57" s="112"/>
      <c r="G57" s="112"/>
      <c r="H57" s="112"/>
      <c r="I57" s="112"/>
      <c r="J57" s="112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>
        <f t="shared" si="0"/>
        <v>0</v>
      </c>
    </row>
    <row r="58" spans="1:27" ht="17.25" customHeight="1" x14ac:dyDescent="0.3">
      <c r="A58" s="227">
        <v>50</v>
      </c>
      <c r="B58" s="112" t="s">
        <v>253</v>
      </c>
      <c r="C58" s="112"/>
      <c r="D58" s="112"/>
      <c r="E58" s="112"/>
      <c r="F58" s="112"/>
      <c r="G58" s="112"/>
      <c r="H58" s="112"/>
      <c r="I58" s="112"/>
      <c r="J58" s="112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>
        <f t="shared" si="0"/>
        <v>0</v>
      </c>
    </row>
    <row r="59" spans="1:27" ht="17.25" customHeight="1" x14ac:dyDescent="0.3">
      <c r="A59" s="227">
        <v>51</v>
      </c>
      <c r="B59" s="112" t="s">
        <v>192</v>
      </c>
      <c r="C59" s="112"/>
      <c r="D59" s="112"/>
      <c r="E59" s="112"/>
      <c r="F59" s="112"/>
      <c r="G59" s="112"/>
      <c r="H59" s="112"/>
      <c r="I59" s="112"/>
      <c r="J59" s="112"/>
      <c r="K59" s="117"/>
      <c r="L59" s="117"/>
      <c r="M59" s="117"/>
      <c r="N59" s="117"/>
      <c r="O59" s="117"/>
      <c r="P59" s="117"/>
      <c r="Q59" s="117"/>
      <c r="R59" s="117"/>
      <c r="S59" s="234"/>
      <c r="T59" s="117"/>
      <c r="U59" s="117"/>
      <c r="V59" s="117"/>
      <c r="W59" s="117"/>
      <c r="X59" s="117"/>
      <c r="Y59" s="117"/>
      <c r="Z59" s="117"/>
      <c r="AA59" s="117">
        <f t="shared" si="0"/>
        <v>0</v>
      </c>
    </row>
    <row r="60" spans="1:27" ht="17.25" customHeight="1" x14ac:dyDescent="0.3">
      <c r="A60" s="227">
        <v>52</v>
      </c>
      <c r="B60" s="112" t="s">
        <v>419</v>
      </c>
      <c r="C60" s="112"/>
      <c r="D60" s="112"/>
      <c r="E60" s="112"/>
      <c r="F60" s="112"/>
      <c r="G60" s="112"/>
      <c r="H60" s="112"/>
      <c r="I60" s="112"/>
      <c r="J60" s="112"/>
      <c r="K60" s="117">
        <v>50</v>
      </c>
      <c r="L60" s="117">
        <v>50</v>
      </c>
      <c r="M60" s="117">
        <v>50</v>
      </c>
      <c r="N60" s="117">
        <v>50</v>
      </c>
      <c r="O60" s="117">
        <v>50</v>
      </c>
      <c r="P60" s="117">
        <v>50</v>
      </c>
      <c r="Q60" s="117">
        <v>50</v>
      </c>
      <c r="R60" s="117">
        <v>50</v>
      </c>
      <c r="S60" s="117">
        <v>50</v>
      </c>
      <c r="T60" s="117">
        <v>50</v>
      </c>
      <c r="U60" s="117">
        <v>50</v>
      </c>
      <c r="V60" s="117"/>
      <c r="W60" s="117"/>
      <c r="X60" s="117"/>
      <c r="Y60" s="117"/>
      <c r="Z60" s="117"/>
      <c r="AA60" s="117">
        <f t="shared" si="0"/>
        <v>550</v>
      </c>
    </row>
    <row r="61" spans="1:27" ht="17.25" customHeight="1" x14ac:dyDescent="0.3">
      <c r="A61" s="227">
        <v>53</v>
      </c>
      <c r="B61" s="112" t="s">
        <v>248</v>
      </c>
      <c r="C61" s="112"/>
      <c r="D61" s="112"/>
      <c r="E61" s="112"/>
      <c r="F61" s="112"/>
      <c r="G61" s="112"/>
      <c r="H61" s="112"/>
      <c r="I61" s="112"/>
      <c r="J61" s="112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>
        <f t="shared" si="0"/>
        <v>0</v>
      </c>
    </row>
    <row r="62" spans="1:27" ht="17.25" customHeight="1" x14ac:dyDescent="0.3">
      <c r="A62" s="227">
        <v>54</v>
      </c>
      <c r="B62" s="112" t="s">
        <v>246</v>
      </c>
      <c r="C62" s="112"/>
      <c r="D62" s="112"/>
      <c r="E62" s="112"/>
      <c r="F62" s="112"/>
      <c r="G62" s="112"/>
      <c r="H62" s="112"/>
      <c r="I62" s="112"/>
      <c r="J62" s="112"/>
      <c r="K62" s="117"/>
      <c r="L62" s="117"/>
      <c r="M62" s="117"/>
      <c r="N62" s="117"/>
      <c r="O62" s="117"/>
      <c r="P62" s="117">
        <v>50</v>
      </c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>
        <f t="shared" si="0"/>
        <v>50</v>
      </c>
    </row>
    <row r="63" spans="1:27" ht="17.25" customHeight="1" x14ac:dyDescent="0.3">
      <c r="A63" s="227">
        <v>55</v>
      </c>
      <c r="B63" s="112" t="s">
        <v>435</v>
      </c>
      <c r="C63" s="112"/>
      <c r="D63" s="112"/>
      <c r="E63" s="112"/>
      <c r="F63" s="112"/>
      <c r="G63" s="112"/>
      <c r="H63" s="112"/>
      <c r="I63" s="112"/>
      <c r="J63" s="112"/>
      <c r="K63" s="117"/>
      <c r="L63" s="117"/>
      <c r="M63" s="117"/>
      <c r="N63" s="117"/>
      <c r="O63" s="117">
        <v>70</v>
      </c>
      <c r="P63" s="117">
        <v>70</v>
      </c>
      <c r="Q63" s="117">
        <v>70</v>
      </c>
      <c r="R63" s="117">
        <v>70</v>
      </c>
      <c r="S63" s="117">
        <v>70</v>
      </c>
      <c r="T63" s="117">
        <v>70</v>
      </c>
      <c r="U63" s="117">
        <v>70</v>
      </c>
      <c r="V63" s="117"/>
      <c r="W63" s="117"/>
      <c r="X63" s="117"/>
      <c r="Y63" s="117"/>
      <c r="Z63" s="117"/>
      <c r="AA63" s="117">
        <f t="shared" si="0"/>
        <v>490</v>
      </c>
    </row>
    <row r="64" spans="1:27" ht="17.25" customHeight="1" x14ac:dyDescent="0.3">
      <c r="A64" s="227">
        <v>56</v>
      </c>
      <c r="B64" s="112" t="s">
        <v>434</v>
      </c>
      <c r="C64" s="112"/>
      <c r="D64" s="112"/>
      <c r="E64" s="112"/>
      <c r="F64" s="112"/>
      <c r="G64" s="112"/>
      <c r="H64" s="112"/>
      <c r="I64" s="112"/>
      <c r="J64" s="112"/>
      <c r="K64" s="117"/>
      <c r="L64" s="117"/>
      <c r="M64" s="117"/>
      <c r="N64" s="117"/>
      <c r="O64" s="117">
        <v>20</v>
      </c>
      <c r="P64" s="117">
        <v>30</v>
      </c>
      <c r="Q64" s="117">
        <v>50</v>
      </c>
      <c r="R64" s="117">
        <v>50</v>
      </c>
      <c r="S64" s="117">
        <v>20</v>
      </c>
      <c r="T64" s="117">
        <v>20</v>
      </c>
      <c r="U64" s="117">
        <v>20</v>
      </c>
      <c r="V64" s="117"/>
      <c r="W64" s="117"/>
      <c r="X64" s="117"/>
      <c r="Y64" s="117"/>
      <c r="Z64" s="117"/>
      <c r="AA64" s="117">
        <f t="shared" si="0"/>
        <v>210</v>
      </c>
    </row>
    <row r="65" spans="1:27" ht="17.25" customHeight="1" x14ac:dyDescent="0.3">
      <c r="A65" s="227">
        <v>57</v>
      </c>
      <c r="B65" s="112" t="s">
        <v>437</v>
      </c>
      <c r="C65" s="112"/>
      <c r="D65" s="112"/>
      <c r="E65" s="112"/>
      <c r="F65" s="112"/>
      <c r="G65" s="112"/>
      <c r="H65" s="112"/>
      <c r="I65" s="112"/>
      <c r="J65" s="112"/>
      <c r="K65" s="117"/>
      <c r="L65" s="117"/>
      <c r="M65" s="117"/>
      <c r="N65" s="117"/>
      <c r="O65" s="117">
        <v>600</v>
      </c>
      <c r="P65" s="117">
        <v>600</v>
      </c>
      <c r="Q65" s="117">
        <v>600</v>
      </c>
      <c r="R65" s="117">
        <v>600</v>
      </c>
      <c r="S65" s="117"/>
      <c r="T65" s="117"/>
      <c r="U65" s="117"/>
      <c r="V65" s="117"/>
      <c r="W65" s="117"/>
      <c r="X65" s="117"/>
      <c r="Y65" s="117"/>
      <c r="Z65" s="117"/>
      <c r="AA65" s="117">
        <f t="shared" si="0"/>
        <v>2400</v>
      </c>
    </row>
    <row r="66" spans="1:27" ht="17.25" customHeight="1" x14ac:dyDescent="0.3">
      <c r="A66" s="227">
        <v>58</v>
      </c>
      <c r="B66" s="112" t="s">
        <v>438</v>
      </c>
      <c r="C66" s="112"/>
      <c r="D66" s="112"/>
      <c r="E66" s="112"/>
      <c r="F66" s="112"/>
      <c r="G66" s="112"/>
      <c r="H66" s="112"/>
      <c r="I66" s="112"/>
      <c r="J66" s="112"/>
      <c r="K66" s="117"/>
      <c r="L66" s="117"/>
      <c r="M66" s="117"/>
      <c r="N66" s="117"/>
      <c r="O66" s="117"/>
      <c r="P66" s="117">
        <v>20</v>
      </c>
      <c r="Q66" s="117">
        <v>20</v>
      </c>
      <c r="R66" s="117">
        <v>20</v>
      </c>
      <c r="S66" s="117">
        <v>20</v>
      </c>
      <c r="T66" s="117">
        <v>20</v>
      </c>
      <c r="U66" s="117">
        <v>20</v>
      </c>
      <c r="V66" s="117">
        <v>10</v>
      </c>
      <c r="W66" s="117"/>
      <c r="X66" s="117"/>
      <c r="Y66" s="117"/>
      <c r="Z66" s="117"/>
      <c r="AA66" s="117">
        <f t="shared" si="0"/>
        <v>130</v>
      </c>
    </row>
    <row r="67" spans="1:27" ht="17.25" customHeight="1" x14ac:dyDescent="0.3">
      <c r="A67" s="227">
        <v>59</v>
      </c>
      <c r="B67" s="112" t="s">
        <v>444</v>
      </c>
      <c r="C67" s="112"/>
      <c r="D67" s="112"/>
      <c r="E67" s="112"/>
      <c r="F67" s="112"/>
      <c r="G67" s="112"/>
      <c r="H67" s="112"/>
      <c r="I67" s="112"/>
      <c r="J67" s="112"/>
      <c r="K67" s="117"/>
      <c r="L67" s="117"/>
      <c r="M67" s="117"/>
      <c r="N67" s="117"/>
      <c r="O67" s="117"/>
      <c r="P67" s="117"/>
      <c r="Q67" s="117"/>
      <c r="R67" s="117">
        <v>50</v>
      </c>
      <c r="S67" s="117"/>
      <c r="T67" s="117"/>
      <c r="U67" s="117"/>
      <c r="V67" s="117"/>
      <c r="W67" s="117"/>
      <c r="X67" s="117"/>
      <c r="Y67" s="117"/>
      <c r="Z67" s="117"/>
      <c r="AA67" s="117">
        <f t="shared" si="0"/>
        <v>50</v>
      </c>
    </row>
    <row r="68" spans="1:27" ht="17.25" customHeight="1" x14ac:dyDescent="0.3">
      <c r="A68" s="227">
        <v>60</v>
      </c>
      <c r="B68" s="112" t="s">
        <v>445</v>
      </c>
      <c r="C68" s="112"/>
      <c r="D68" s="112"/>
      <c r="E68" s="112"/>
      <c r="F68" s="112"/>
      <c r="G68" s="112"/>
      <c r="H68" s="112"/>
      <c r="I68" s="112"/>
      <c r="J68" s="112"/>
      <c r="K68" s="117"/>
      <c r="L68" s="117"/>
      <c r="M68" s="117"/>
      <c r="N68" s="117"/>
      <c r="O68" s="117"/>
      <c r="P68" s="117"/>
      <c r="Q68" s="117"/>
      <c r="R68" s="117"/>
      <c r="S68" s="117">
        <v>0</v>
      </c>
      <c r="T68" s="117">
        <v>20</v>
      </c>
      <c r="U68" s="117">
        <v>20</v>
      </c>
      <c r="V68" s="117"/>
      <c r="W68" s="117"/>
      <c r="X68" s="117"/>
      <c r="Y68" s="117"/>
      <c r="Z68" s="117"/>
      <c r="AA68" s="117">
        <f t="shared" si="0"/>
        <v>40</v>
      </c>
    </row>
    <row r="69" spans="1:27" ht="17.25" customHeight="1" x14ac:dyDescent="0.3">
      <c r="A69" s="227">
        <v>61</v>
      </c>
      <c r="B69" s="112" t="s">
        <v>472</v>
      </c>
      <c r="C69" s="112"/>
      <c r="D69" s="112"/>
      <c r="E69" s="112"/>
      <c r="F69" s="112"/>
      <c r="G69" s="112"/>
      <c r="H69" s="112"/>
      <c r="I69" s="112"/>
      <c r="J69" s="112"/>
      <c r="K69" s="117"/>
      <c r="L69" s="117"/>
      <c r="M69" s="117"/>
      <c r="N69" s="117"/>
      <c r="O69" s="117"/>
      <c r="P69" s="117"/>
      <c r="Q69" s="117"/>
      <c r="R69" s="117"/>
      <c r="S69" s="117"/>
      <c r="T69" s="117">
        <v>120</v>
      </c>
      <c r="U69" s="117"/>
      <c r="V69" s="117"/>
      <c r="W69" s="117"/>
      <c r="X69" s="117"/>
      <c r="Y69" s="117"/>
      <c r="Z69" s="117"/>
      <c r="AA69" s="117">
        <f t="shared" si="0"/>
        <v>120</v>
      </c>
    </row>
    <row r="70" spans="1:27" ht="17.25" customHeight="1" x14ac:dyDescent="0.3">
      <c r="A70" s="227">
        <v>62</v>
      </c>
      <c r="B70" s="112" t="s">
        <v>485</v>
      </c>
      <c r="C70" s="112"/>
      <c r="D70" s="112"/>
      <c r="E70" s="112"/>
      <c r="F70" s="112"/>
      <c r="G70" s="112"/>
      <c r="H70" s="112"/>
      <c r="I70" s="112"/>
      <c r="J70" s="112"/>
      <c r="K70" s="117"/>
      <c r="L70" s="117"/>
      <c r="M70" s="117"/>
      <c r="N70" s="117"/>
      <c r="O70" s="117"/>
      <c r="P70" s="117"/>
      <c r="Q70" s="117"/>
      <c r="R70" s="117"/>
      <c r="S70" s="117"/>
      <c r="T70" s="117">
        <v>400</v>
      </c>
      <c r="U70" s="117">
        <v>400</v>
      </c>
      <c r="V70" s="117"/>
      <c r="W70" s="117"/>
      <c r="X70" s="117"/>
      <c r="Y70" s="117"/>
      <c r="Z70" s="117"/>
      <c r="AA70" s="117">
        <f t="shared" si="0"/>
        <v>800</v>
      </c>
    </row>
    <row r="71" spans="1:27" ht="17.25" customHeight="1" x14ac:dyDescent="0.3">
      <c r="A71" s="227">
        <v>63</v>
      </c>
      <c r="B71" s="112" t="s">
        <v>473</v>
      </c>
      <c r="C71" s="112"/>
      <c r="D71" s="112"/>
      <c r="E71" s="112"/>
      <c r="F71" s="112"/>
      <c r="G71" s="112"/>
      <c r="H71" s="112"/>
      <c r="I71" s="112"/>
      <c r="J71" s="112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>
        <v>100</v>
      </c>
      <c r="V71" s="117"/>
      <c r="W71" s="117"/>
      <c r="X71" s="117"/>
      <c r="Y71" s="117"/>
      <c r="Z71" s="117"/>
      <c r="AA71" s="117">
        <f t="shared" si="0"/>
        <v>100</v>
      </c>
    </row>
    <row r="72" spans="1:27" ht="17.25" customHeight="1" x14ac:dyDescent="0.3">
      <c r="A72" s="227">
        <v>64</v>
      </c>
      <c r="B72" s="112" t="s">
        <v>476</v>
      </c>
      <c r="C72" s="112"/>
      <c r="D72" s="112"/>
      <c r="E72" s="112"/>
      <c r="F72" s="112"/>
      <c r="G72" s="112"/>
      <c r="H72" s="112"/>
      <c r="I72" s="112"/>
      <c r="J72" s="112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>
        <v>20</v>
      </c>
      <c r="V72" s="117"/>
      <c r="W72" s="117"/>
      <c r="X72" s="117"/>
      <c r="Y72" s="117"/>
      <c r="Z72" s="117"/>
      <c r="AA72" s="117">
        <f t="shared" si="0"/>
        <v>20</v>
      </c>
    </row>
    <row r="73" spans="1:27" ht="17.25" customHeight="1" x14ac:dyDescent="0.3">
      <c r="A73" s="227">
        <v>65</v>
      </c>
      <c r="B73" s="112" t="s">
        <v>477</v>
      </c>
      <c r="C73" s="112"/>
      <c r="D73" s="112"/>
      <c r="E73" s="112"/>
      <c r="F73" s="112"/>
      <c r="G73" s="112"/>
      <c r="H73" s="112"/>
      <c r="I73" s="112"/>
      <c r="J73" s="112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>
        <v>50</v>
      </c>
      <c r="V73" s="117"/>
      <c r="W73" s="117"/>
      <c r="X73" s="117"/>
      <c r="Y73" s="117"/>
      <c r="Z73" s="117"/>
      <c r="AA73" s="117">
        <f t="shared" si="0"/>
        <v>50</v>
      </c>
    </row>
    <row r="74" spans="1:27" ht="17.25" customHeight="1" x14ac:dyDescent="0.3">
      <c r="A74" s="227">
        <v>66</v>
      </c>
      <c r="B74" s="112" t="s">
        <v>483</v>
      </c>
      <c r="C74" s="112"/>
      <c r="D74" s="112"/>
      <c r="E74" s="112"/>
      <c r="F74" s="112"/>
      <c r="G74" s="112"/>
      <c r="H74" s="112"/>
      <c r="I74" s="112"/>
      <c r="J74" s="112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>
        <v>50</v>
      </c>
      <c r="V74" s="117"/>
      <c r="W74" s="117"/>
      <c r="X74" s="117"/>
      <c r="Y74" s="117"/>
      <c r="Z74" s="117"/>
      <c r="AA74" s="117">
        <f t="shared" si="0"/>
        <v>50</v>
      </c>
    </row>
    <row r="75" spans="1:27" ht="17.25" customHeight="1" x14ac:dyDescent="0.3">
      <c r="A75" s="227">
        <v>67</v>
      </c>
      <c r="B75" s="112" t="s">
        <v>484</v>
      </c>
      <c r="C75" s="112"/>
      <c r="D75" s="112"/>
      <c r="E75" s="112"/>
      <c r="F75" s="112"/>
      <c r="G75" s="112"/>
      <c r="H75" s="112"/>
      <c r="I75" s="112"/>
      <c r="J75" s="112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>
        <v>30</v>
      </c>
      <c r="V75" s="117"/>
      <c r="W75" s="117"/>
      <c r="X75" s="117"/>
      <c r="Y75" s="117"/>
      <c r="Z75" s="117"/>
      <c r="AA75" s="117">
        <f t="shared" si="0"/>
        <v>30</v>
      </c>
    </row>
    <row r="76" spans="1:27" ht="17.25" customHeight="1" x14ac:dyDescent="0.3">
      <c r="A76" s="227"/>
      <c r="B76" s="112"/>
      <c r="C76" s="117">
        <f t="shared" ref="C76:D76" si="1">SUM(C9:C33)</f>
        <v>0</v>
      </c>
      <c r="D76" s="117">
        <f t="shared" si="1"/>
        <v>0</v>
      </c>
      <c r="E76" s="117">
        <f>SUM(E9:E75)</f>
        <v>150</v>
      </c>
      <c r="F76" s="117">
        <f t="shared" ref="F76:AA76" si="2">SUM(F9:F75)</f>
        <v>150</v>
      </c>
      <c r="G76" s="117">
        <f t="shared" si="2"/>
        <v>250</v>
      </c>
      <c r="H76" s="117">
        <f t="shared" si="2"/>
        <v>380</v>
      </c>
      <c r="I76" s="117">
        <f t="shared" si="2"/>
        <v>380</v>
      </c>
      <c r="J76" s="117">
        <f t="shared" si="2"/>
        <v>840</v>
      </c>
      <c r="K76" s="117">
        <f t="shared" si="2"/>
        <v>7505</v>
      </c>
      <c r="L76" s="117">
        <f t="shared" si="2"/>
        <v>8125</v>
      </c>
      <c r="M76" s="117">
        <f t="shared" si="2"/>
        <v>8725</v>
      </c>
      <c r="N76" s="117">
        <f t="shared" si="2"/>
        <v>8065</v>
      </c>
      <c r="O76" s="117">
        <f t="shared" si="2"/>
        <v>9258</v>
      </c>
      <c r="P76" s="117">
        <f t="shared" si="2"/>
        <v>9068</v>
      </c>
      <c r="Q76" s="117">
        <f t="shared" si="2"/>
        <v>8660</v>
      </c>
      <c r="R76" s="117">
        <f t="shared" si="2"/>
        <v>9470</v>
      </c>
      <c r="S76" s="117">
        <f t="shared" si="2"/>
        <v>8810</v>
      </c>
      <c r="T76" s="117">
        <f t="shared" si="2"/>
        <v>7780</v>
      </c>
      <c r="U76" s="117">
        <f>SUM(U9:U75)</f>
        <v>7930</v>
      </c>
      <c r="V76" s="117">
        <f>SUM(V9:V75)</f>
        <v>1165</v>
      </c>
      <c r="W76" s="117">
        <f t="shared" si="2"/>
        <v>0</v>
      </c>
      <c r="X76" s="117">
        <f t="shared" si="2"/>
        <v>0</v>
      </c>
      <c r="Y76" s="117">
        <f t="shared" si="2"/>
        <v>0</v>
      </c>
      <c r="Z76" s="117">
        <f t="shared" si="2"/>
        <v>0</v>
      </c>
      <c r="AA76" s="117">
        <f t="shared" si="2"/>
        <v>96711</v>
      </c>
    </row>
    <row r="77" spans="1:27" x14ac:dyDescent="0.3">
      <c r="AA77" s="224">
        <f>+'Rec &amp; Pmt'!B17</f>
        <v>96711</v>
      </c>
    </row>
    <row r="78" spans="1:27" x14ac:dyDescent="0.3">
      <c r="AA78" s="224">
        <f>+AA77-AA76</f>
        <v>0</v>
      </c>
    </row>
  </sheetData>
  <mergeCells count="5">
    <mergeCell ref="A1:N1"/>
    <mergeCell ref="A2:N2"/>
    <mergeCell ref="A3:N3"/>
    <mergeCell ref="A4:N4"/>
    <mergeCell ref="A5:N5"/>
  </mergeCells>
  <pageMargins left="0.7" right="0.7" top="0.75" bottom="0.75" header="0.3" footer="0.3"/>
  <pageSetup paperSize="8" scale="69" orientation="landscape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6" zoomScaleNormal="100" workbookViewId="0">
      <selection activeCell="E22" sqref="E22"/>
    </sheetView>
  </sheetViews>
  <sheetFormatPr defaultColWidth="8.88671875" defaultRowHeight="14.4" x14ac:dyDescent="0.3"/>
  <cols>
    <col min="1" max="1" width="12" bestFit="1" customWidth="1"/>
    <col min="2" max="2" width="22" customWidth="1"/>
    <col min="4" max="6" width="13" style="1" customWidth="1"/>
    <col min="7" max="7" width="3.44140625" customWidth="1"/>
    <col min="8" max="8" width="10.109375" bestFit="1" customWidth="1"/>
    <col min="9" max="9" width="21.6640625" customWidth="1"/>
    <col min="11" max="13" width="12.44140625" style="1" customWidth="1"/>
  </cols>
  <sheetData>
    <row r="1" spans="1:13" s="18" customFormat="1" ht="17.25" customHeight="1" x14ac:dyDescent="0.3">
      <c r="A1" s="286" t="str">
        <f>+TITHE!A1:N1</f>
        <v>THE METHODIST CHURCH GHANA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8"/>
    </row>
    <row r="2" spans="1:13" s="18" customFormat="1" ht="17.25" customHeight="1" x14ac:dyDescent="0.3">
      <c r="A2" s="289" t="str">
        <f>+TITHE!A2:N2</f>
        <v>ACCRA NORTH DIOCESE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5"/>
    </row>
    <row r="3" spans="1:13" s="18" customFormat="1" ht="17.25" customHeight="1" x14ac:dyDescent="0.3">
      <c r="A3" s="289" t="str">
        <f>+TITHE!A3:N3</f>
        <v>GA SUB-URBAN CIRCUIT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5"/>
    </row>
    <row r="4" spans="1:13" s="18" customFormat="1" ht="17.25" customHeight="1" x14ac:dyDescent="0.3">
      <c r="A4" s="289" t="str">
        <f>+TITHE!A4:N4</f>
        <v>HEBRON  SOCIETY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5"/>
    </row>
    <row r="5" spans="1:13" s="18" customFormat="1" ht="17.25" customHeight="1" x14ac:dyDescent="0.3">
      <c r="A5" s="283" t="s">
        <v>121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5"/>
    </row>
    <row r="6" spans="1:13" s="18" customFormat="1" ht="17.25" customHeight="1" x14ac:dyDescent="0.3">
      <c r="A6" s="290" t="s">
        <v>3</v>
      </c>
      <c r="B6" s="291"/>
      <c r="C6" s="291"/>
      <c r="D6" s="291"/>
      <c r="E6" s="291"/>
      <c r="F6" s="291"/>
      <c r="G6" s="100"/>
      <c r="H6" s="292" t="s">
        <v>135</v>
      </c>
      <c r="I6" s="291"/>
      <c r="J6" s="291"/>
      <c r="K6" s="291"/>
      <c r="L6" s="291"/>
      <c r="M6" s="293"/>
    </row>
    <row r="7" spans="1:13" s="80" customFormat="1" ht="17.25" customHeight="1" x14ac:dyDescent="0.3">
      <c r="A7" s="101" t="s">
        <v>115</v>
      </c>
      <c r="B7" s="78" t="s">
        <v>116</v>
      </c>
      <c r="C7" s="78" t="s">
        <v>117</v>
      </c>
      <c r="D7" s="81" t="s">
        <v>266</v>
      </c>
      <c r="E7" s="81" t="s">
        <v>224</v>
      </c>
      <c r="F7" s="81" t="s">
        <v>118</v>
      </c>
      <c r="G7" s="79"/>
      <c r="H7" s="78" t="s">
        <v>115</v>
      </c>
      <c r="I7" s="78" t="s">
        <v>116</v>
      </c>
      <c r="J7" s="78" t="s">
        <v>117</v>
      </c>
      <c r="K7" s="81" t="s">
        <v>266</v>
      </c>
      <c r="L7" s="81" t="s">
        <v>224</v>
      </c>
      <c r="M7" s="102" t="s">
        <v>118</v>
      </c>
    </row>
    <row r="8" spans="1:13" s="80" customFormat="1" ht="17.25" customHeight="1" x14ac:dyDescent="0.3">
      <c r="A8" s="101"/>
      <c r="B8" s="78"/>
      <c r="C8" s="78"/>
      <c r="D8" s="81" t="s">
        <v>4</v>
      </c>
      <c r="E8" s="81" t="s">
        <v>4</v>
      </c>
      <c r="F8" s="81" t="s">
        <v>4</v>
      </c>
      <c r="G8" s="79"/>
      <c r="H8" s="78"/>
      <c r="I8" s="78"/>
      <c r="J8" s="78"/>
      <c r="K8" s="81" t="s">
        <v>4</v>
      </c>
      <c r="L8" s="81" t="s">
        <v>4</v>
      </c>
      <c r="M8" s="102" t="s">
        <v>4</v>
      </c>
    </row>
    <row r="9" spans="1:13" ht="17.25" customHeight="1" x14ac:dyDescent="0.3">
      <c r="A9" s="103">
        <v>44470</v>
      </c>
      <c r="B9" s="10" t="s">
        <v>119</v>
      </c>
      <c r="C9" s="10"/>
      <c r="D9" s="9">
        <f>+'Rec &amp; Pmt'!C76</f>
        <v>200</v>
      </c>
      <c r="E9" s="9">
        <f>+'Rec &amp; Pmt'!C75</f>
        <v>52205.88</v>
      </c>
      <c r="F9" s="9">
        <f>+'Rec &amp; Pmt'!C77</f>
        <v>6557.7</v>
      </c>
      <c r="G9" s="77"/>
      <c r="H9" s="82">
        <v>44470</v>
      </c>
      <c r="I9" s="10" t="s">
        <v>119</v>
      </c>
      <c r="J9" s="10"/>
      <c r="K9" s="9"/>
      <c r="L9" s="9"/>
      <c r="M9" s="104"/>
    </row>
    <row r="10" spans="1:13" ht="17.25" customHeight="1" x14ac:dyDescent="0.3">
      <c r="A10" s="105"/>
      <c r="B10" s="10" t="s">
        <v>129</v>
      </c>
      <c r="C10" s="10"/>
      <c r="D10" s="9"/>
      <c r="E10" s="9">
        <f>7212.6+1000</f>
        <v>8212.6</v>
      </c>
      <c r="F10" s="9">
        <f>'weekly income statement'!C68</f>
        <v>6134.8</v>
      </c>
      <c r="G10" s="77"/>
      <c r="H10" s="10"/>
      <c r="I10" s="10" t="s">
        <v>129</v>
      </c>
      <c r="J10" s="10"/>
      <c r="K10" s="9"/>
      <c r="L10" s="9">
        <f>+Expend!C84+231.2</f>
        <v>60231.199999999997</v>
      </c>
      <c r="M10" s="104">
        <f>Expend!C108-231.2</f>
        <v>9547</v>
      </c>
    </row>
    <row r="11" spans="1:13" ht="17.25" customHeight="1" x14ac:dyDescent="0.3">
      <c r="A11" s="105"/>
      <c r="B11" s="10" t="s">
        <v>130</v>
      </c>
      <c r="C11" s="10"/>
      <c r="D11" s="9"/>
      <c r="E11" s="9">
        <f>1600+9635+5360+7387</f>
        <v>23982</v>
      </c>
      <c r="F11" s="9">
        <f>'weekly income statement'!D68</f>
        <v>24320.199999999997</v>
      </c>
      <c r="G11" s="77"/>
      <c r="H11" s="10"/>
      <c r="I11" s="10" t="s">
        <v>130</v>
      </c>
      <c r="J11" s="10"/>
      <c r="K11" s="9"/>
      <c r="L11" s="9">
        <f>+Expend!D84</f>
        <v>46000</v>
      </c>
      <c r="M11" s="104">
        <f>Expend!D108-L11</f>
        <v>25450</v>
      </c>
    </row>
    <row r="12" spans="1:13" ht="17.25" customHeight="1" x14ac:dyDescent="0.3">
      <c r="A12" s="105"/>
      <c r="B12" s="10" t="s">
        <v>124</v>
      </c>
      <c r="C12" s="10"/>
      <c r="D12" s="9"/>
      <c r="E12" s="9">
        <f>22600+9000+5000</f>
        <v>36600</v>
      </c>
      <c r="F12" s="9">
        <f>'weekly income statement'!E68</f>
        <v>63348.9</v>
      </c>
      <c r="G12" s="77"/>
      <c r="H12" s="10"/>
      <c r="I12" s="10" t="s">
        <v>124</v>
      </c>
      <c r="J12" s="10"/>
      <c r="K12" s="9"/>
      <c r="L12" s="9">
        <f>+Expend!E84-4000-3000-4000</f>
        <v>14000</v>
      </c>
      <c r="M12" s="104">
        <f>Expend!E108-L12</f>
        <v>55791</v>
      </c>
    </row>
    <row r="13" spans="1:13" ht="17.25" customHeight="1" x14ac:dyDescent="0.3">
      <c r="A13" s="105"/>
      <c r="B13" s="10" t="s">
        <v>125</v>
      </c>
      <c r="C13" s="10"/>
      <c r="D13" s="9"/>
      <c r="E13" s="9">
        <v>26065</v>
      </c>
      <c r="F13" s="9">
        <f>'weekly income statement'!F68</f>
        <v>26461.599999999999</v>
      </c>
      <c r="G13" s="77"/>
      <c r="H13" s="10"/>
      <c r="I13" s="10" t="s">
        <v>125</v>
      </c>
      <c r="J13" s="10"/>
      <c r="K13" s="9"/>
      <c r="L13" s="9">
        <f>+Expend!G89-Expend!G84+25000+1600</f>
        <v>26600</v>
      </c>
      <c r="M13" s="104">
        <f>Expend!F108-L13</f>
        <v>28885</v>
      </c>
    </row>
    <row r="14" spans="1:13" ht="17.25" customHeight="1" x14ac:dyDescent="0.3">
      <c r="A14" s="105"/>
      <c r="B14" s="10" t="s">
        <v>26</v>
      </c>
      <c r="C14" s="10"/>
      <c r="D14" s="9"/>
      <c r="E14" s="9"/>
      <c r="F14" s="9">
        <f>'weekly income statement'!G68</f>
        <v>17574.3</v>
      </c>
      <c r="G14" s="77"/>
      <c r="H14" s="10"/>
      <c r="I14" s="10" t="s">
        <v>26</v>
      </c>
      <c r="J14" s="10"/>
      <c r="K14" s="9"/>
      <c r="L14" s="9"/>
      <c r="M14" s="104">
        <f>Expend!G108-L14</f>
        <v>7750</v>
      </c>
    </row>
    <row r="15" spans="1:13" ht="17.25" customHeight="1" x14ac:dyDescent="0.3">
      <c r="A15" s="105"/>
      <c r="B15" s="10" t="s">
        <v>27</v>
      </c>
      <c r="C15" s="10"/>
      <c r="D15" s="9"/>
      <c r="E15" s="9">
        <f>12360+34890</f>
        <v>47250</v>
      </c>
      <c r="F15" s="9">
        <f>'weekly income statement'!H68</f>
        <v>54094.5</v>
      </c>
      <c r="G15" s="77"/>
      <c r="H15" s="10"/>
      <c r="I15" s="10" t="s">
        <v>27</v>
      </c>
      <c r="J15" s="10"/>
      <c r="K15" s="9"/>
      <c r="L15" s="9">
        <f>+Expend!H84+1000</f>
        <v>44040</v>
      </c>
      <c r="M15" s="104">
        <f>Expend!H108-L15</f>
        <v>54290</v>
      </c>
    </row>
    <row r="16" spans="1:13" ht="17.25" customHeight="1" x14ac:dyDescent="0.3">
      <c r="A16" s="105"/>
      <c r="B16" s="10" t="s">
        <v>28</v>
      </c>
      <c r="C16" s="10"/>
      <c r="D16" s="9"/>
      <c r="E16" s="9">
        <f>1600+2610+17000</f>
        <v>21210</v>
      </c>
      <c r="F16" s="9">
        <f>'weekly income statement'!I68</f>
        <v>14344.8</v>
      </c>
      <c r="G16" s="77"/>
      <c r="H16" s="10"/>
      <c r="I16" s="10" t="s">
        <v>28</v>
      </c>
      <c r="J16" s="10"/>
      <c r="K16" s="9"/>
      <c r="L16" s="9">
        <f>+Expend!I84</f>
        <v>20000</v>
      </c>
      <c r="M16" s="104">
        <f>Expend!I108-L16</f>
        <v>24210</v>
      </c>
    </row>
    <row r="17" spans="1:13" ht="17.25" customHeight="1" x14ac:dyDescent="0.3">
      <c r="A17" s="105"/>
      <c r="B17" s="10" t="s">
        <v>126</v>
      </c>
      <c r="C17" s="10"/>
      <c r="D17" s="9"/>
      <c r="E17" s="9">
        <v>1500</v>
      </c>
      <c r="F17" s="9">
        <f>'weekly income statement'!J68</f>
        <v>7404.5</v>
      </c>
      <c r="G17" s="77"/>
      <c r="H17" s="10"/>
      <c r="I17" s="10" t="s">
        <v>126</v>
      </c>
      <c r="J17" s="10"/>
      <c r="K17" s="9"/>
      <c r="L17" s="9">
        <f>+Expend!J84</f>
        <v>0</v>
      </c>
      <c r="M17" s="104">
        <f>Expend!J108-L17</f>
        <v>2900</v>
      </c>
    </row>
    <row r="18" spans="1:13" ht="17.25" customHeight="1" x14ac:dyDescent="0.3">
      <c r="A18" s="105"/>
      <c r="B18" s="10" t="s">
        <v>127</v>
      </c>
      <c r="C18" s="10"/>
      <c r="D18" s="9"/>
      <c r="E18" s="9">
        <v>39720</v>
      </c>
      <c r="F18" s="9">
        <f>'weekly income statement'!K68</f>
        <v>44106.6</v>
      </c>
      <c r="G18" s="77"/>
      <c r="H18" s="10"/>
      <c r="I18" s="10" t="s">
        <v>127</v>
      </c>
      <c r="J18" s="10"/>
      <c r="K18" s="9"/>
      <c r="L18" s="9"/>
      <c r="M18" s="104">
        <f>Expend!K108</f>
        <v>42220</v>
      </c>
    </row>
    <row r="19" spans="1:13" ht="17.25" customHeight="1" x14ac:dyDescent="0.3">
      <c r="A19" s="105"/>
      <c r="B19" s="10" t="s">
        <v>122</v>
      </c>
      <c r="C19" s="10"/>
      <c r="D19" s="9"/>
      <c r="E19" s="9">
        <v>18000</v>
      </c>
      <c r="F19" s="9">
        <f>'weekly income statement'!L68</f>
        <v>13859.300000000001</v>
      </c>
      <c r="G19" s="77"/>
      <c r="H19" s="10"/>
      <c r="I19" s="10" t="s">
        <v>122</v>
      </c>
      <c r="J19" s="10"/>
      <c r="K19" s="9"/>
      <c r="L19" s="9">
        <f>+Expend!L80-6000</f>
        <v>40000</v>
      </c>
      <c r="M19" s="104">
        <f>Expend!L108-L19</f>
        <v>25100</v>
      </c>
    </row>
    <row r="20" spans="1:13" ht="17.25" customHeight="1" x14ac:dyDescent="0.3">
      <c r="A20" s="105"/>
      <c r="B20" s="10" t="s">
        <v>123</v>
      </c>
      <c r="C20" s="10"/>
      <c r="D20" s="9"/>
      <c r="E20" s="9">
        <v>14000</v>
      </c>
      <c r="F20" s="9">
        <f>'weekly income statement'!M68</f>
        <v>50169.4</v>
      </c>
      <c r="G20" s="77"/>
      <c r="H20" s="10"/>
      <c r="I20" s="10" t="s">
        <v>123</v>
      </c>
      <c r="J20" s="10"/>
      <c r="K20" s="9"/>
      <c r="L20" s="9"/>
      <c r="M20" s="104">
        <f>Expend!M108</f>
        <v>48536.5</v>
      </c>
    </row>
    <row r="21" spans="1:13" ht="17.25" customHeight="1" x14ac:dyDescent="0.3">
      <c r="A21" s="105"/>
      <c r="B21" s="10" t="s">
        <v>128</v>
      </c>
      <c r="C21" s="10"/>
      <c r="D21" s="9"/>
      <c r="E21" s="9">
        <f>34880+14505+3890</f>
        <v>53275</v>
      </c>
      <c r="F21" s="9">
        <f>'weekly income statement'!N68</f>
        <v>75147.7</v>
      </c>
      <c r="G21" s="77"/>
      <c r="H21" s="10"/>
      <c r="I21" s="10" t="s">
        <v>128</v>
      </c>
      <c r="J21" s="10"/>
      <c r="K21" s="9"/>
      <c r="L21" s="9">
        <f>20000+8254.49+8241.29+38460+2020</f>
        <v>76975.78</v>
      </c>
      <c r="M21" s="104">
        <f>Expend!N108-L21</f>
        <v>72505</v>
      </c>
    </row>
    <row r="22" spans="1:13" ht="17.25" customHeight="1" x14ac:dyDescent="0.3">
      <c r="A22" s="105"/>
      <c r="B22" s="10"/>
      <c r="C22" s="10"/>
      <c r="D22" s="9"/>
      <c r="E22" s="9"/>
      <c r="F22" s="9"/>
      <c r="G22" s="77"/>
      <c r="H22" s="10"/>
      <c r="I22" s="10"/>
      <c r="J22" s="10"/>
      <c r="K22" s="9"/>
      <c r="L22" s="9"/>
      <c r="M22" s="104"/>
    </row>
    <row r="23" spans="1:13" ht="17.25" customHeight="1" x14ac:dyDescent="0.3">
      <c r="A23" s="105"/>
      <c r="B23" s="10"/>
      <c r="C23" s="10"/>
      <c r="D23" s="9"/>
      <c r="E23" s="9"/>
      <c r="F23" s="9"/>
      <c r="G23" s="77"/>
      <c r="H23" s="10"/>
      <c r="I23" s="10"/>
      <c r="J23" s="10"/>
      <c r="K23" s="9"/>
      <c r="L23" s="9"/>
      <c r="M23" s="104"/>
    </row>
    <row r="24" spans="1:13" ht="17.25" customHeight="1" x14ac:dyDescent="0.3">
      <c r="A24" s="105"/>
      <c r="B24" s="10"/>
      <c r="C24" s="10"/>
      <c r="D24" s="9"/>
      <c r="E24" s="9"/>
      <c r="F24" s="9"/>
      <c r="G24" s="77"/>
      <c r="H24" s="10"/>
      <c r="I24" s="10"/>
      <c r="J24" s="10"/>
      <c r="K24" s="9"/>
      <c r="L24" s="9"/>
      <c r="M24" s="104"/>
    </row>
    <row r="25" spans="1:13" ht="17.25" customHeight="1" x14ac:dyDescent="0.3">
      <c r="A25" s="105"/>
      <c r="B25" s="10"/>
      <c r="C25" s="10"/>
      <c r="D25" s="52">
        <f>SUM(D9:D24)</f>
        <v>200</v>
      </c>
      <c r="E25" s="52">
        <f>SUM(E9:E24)</f>
        <v>342020.48</v>
      </c>
      <c r="F25" s="52">
        <f>SUM(F9:F24)</f>
        <v>403524.3</v>
      </c>
      <c r="G25" s="77"/>
      <c r="H25" s="10"/>
      <c r="I25" s="10"/>
      <c r="J25" s="10"/>
      <c r="K25" s="52">
        <f>SUM(K9:K24)</f>
        <v>0</v>
      </c>
      <c r="L25" s="52">
        <f t="shared" ref="L25" si="0">SUM(L9:L24)</f>
        <v>327846.98</v>
      </c>
      <c r="M25" s="106">
        <f>SUM(M9:M24)</f>
        <v>397184.5</v>
      </c>
    </row>
    <row r="26" spans="1:13" ht="17.25" customHeight="1" thickBot="1" x14ac:dyDescent="0.35">
      <c r="A26" s="107"/>
      <c r="B26" s="108"/>
      <c r="C26" s="108"/>
      <c r="D26" s="109"/>
      <c r="E26" s="109"/>
      <c r="F26" s="109"/>
      <c r="G26" s="108"/>
      <c r="H26" s="108" t="s">
        <v>120</v>
      </c>
      <c r="I26" s="108"/>
      <c r="J26" s="108"/>
      <c r="K26" s="110">
        <f>D25-K25</f>
        <v>200</v>
      </c>
      <c r="L26" s="110">
        <f>E25-L25</f>
        <v>14173.5</v>
      </c>
      <c r="M26" s="111">
        <f>F25-M25</f>
        <v>6339.7999999999884</v>
      </c>
    </row>
    <row r="28" spans="1:13" x14ac:dyDescent="0.3">
      <c r="K28" s="1">
        <v>200</v>
      </c>
      <c r="M28" s="1">
        <f t="shared" ref="M28:M29" si="1">K28*L28</f>
        <v>0</v>
      </c>
    </row>
    <row r="29" spans="1:13" x14ac:dyDescent="0.3">
      <c r="K29" s="1">
        <v>100</v>
      </c>
      <c r="M29" s="1">
        <f t="shared" si="1"/>
        <v>0</v>
      </c>
    </row>
    <row r="30" spans="1:13" x14ac:dyDescent="0.3">
      <c r="K30" s="1">
        <v>50</v>
      </c>
      <c r="M30" s="1">
        <f>K30*L30</f>
        <v>0</v>
      </c>
    </row>
    <row r="31" spans="1:13" x14ac:dyDescent="0.3">
      <c r="K31" s="1">
        <v>20</v>
      </c>
      <c r="M31" s="1">
        <f t="shared" ref="M31:M35" si="2">K31*L31</f>
        <v>0</v>
      </c>
    </row>
    <row r="32" spans="1:13" x14ac:dyDescent="0.3">
      <c r="K32" s="1">
        <v>10</v>
      </c>
      <c r="M32" s="1">
        <f t="shared" si="2"/>
        <v>0</v>
      </c>
    </row>
    <row r="33" spans="11:13" x14ac:dyDescent="0.3">
      <c r="K33" s="1">
        <v>5</v>
      </c>
      <c r="M33" s="1">
        <f t="shared" si="2"/>
        <v>0</v>
      </c>
    </row>
    <row r="34" spans="11:13" x14ac:dyDescent="0.3">
      <c r="K34" s="1">
        <v>2</v>
      </c>
      <c r="M34" s="1">
        <f t="shared" si="2"/>
        <v>0</v>
      </c>
    </row>
    <row r="35" spans="11:13" x14ac:dyDescent="0.3">
      <c r="K35" s="1">
        <v>1</v>
      </c>
      <c r="M35" s="1">
        <f t="shared" si="2"/>
        <v>0</v>
      </c>
    </row>
    <row r="36" spans="11:13" x14ac:dyDescent="0.3">
      <c r="M36" s="1">
        <f>SUM(M28:M35)</f>
        <v>0</v>
      </c>
    </row>
    <row r="37" spans="11:13" x14ac:dyDescent="0.3">
      <c r="M37" s="1">
        <f>12160+7802</f>
        <v>19962</v>
      </c>
    </row>
    <row r="38" spans="11:13" x14ac:dyDescent="0.3">
      <c r="M38" s="1">
        <f>+M36-M37</f>
        <v>-19962</v>
      </c>
    </row>
    <row r="39" spans="11:13" x14ac:dyDescent="0.3">
      <c r="M39" s="1">
        <f>SUM(M37:M38)</f>
        <v>0</v>
      </c>
    </row>
    <row r="41" spans="11:13" x14ac:dyDescent="0.3">
      <c r="L41" s="1">
        <v>50000</v>
      </c>
    </row>
    <row r="42" spans="11:13" x14ac:dyDescent="0.3">
      <c r="L42" s="1">
        <v>-25000</v>
      </c>
    </row>
    <row r="43" spans="11:13" x14ac:dyDescent="0.3">
      <c r="L43" s="1">
        <v>-1640</v>
      </c>
    </row>
    <row r="44" spans="11:13" x14ac:dyDescent="0.3">
      <c r="L44" s="1">
        <f>SUM(L41:L43)</f>
        <v>23360</v>
      </c>
    </row>
    <row r="45" spans="11:13" x14ac:dyDescent="0.3">
      <c r="L45" s="1">
        <v>-3080</v>
      </c>
    </row>
  </sheetData>
  <mergeCells count="7">
    <mergeCell ref="A5:M5"/>
    <mergeCell ref="A1:M1"/>
    <mergeCell ref="A2:M2"/>
    <mergeCell ref="A3:M3"/>
    <mergeCell ref="A6:F6"/>
    <mergeCell ref="H6:M6"/>
    <mergeCell ref="A4:M4"/>
  </mergeCells>
  <pageMargins left="0.7" right="0.7" top="0.75" bottom="0.75" header="0.3" footer="0.3"/>
  <pageSetup paperSize="9" scale="8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15" zoomScaleNormal="100" workbookViewId="0">
      <selection activeCell="A20" sqref="A20:F24"/>
    </sheetView>
  </sheetViews>
  <sheetFormatPr defaultRowHeight="14.4" x14ac:dyDescent="0.3"/>
  <cols>
    <col min="2" max="2" width="13" customWidth="1"/>
    <col min="3" max="3" width="25.33203125" customWidth="1"/>
    <col min="4" max="4" width="14.33203125" style="4" customWidth="1"/>
    <col min="5" max="5" width="14.88671875" customWidth="1"/>
    <col min="6" max="6" width="14.6640625" customWidth="1"/>
  </cols>
  <sheetData>
    <row r="1" spans="1:6" ht="32.25" customHeight="1" x14ac:dyDescent="0.3">
      <c r="A1" s="294" t="s">
        <v>228</v>
      </c>
      <c r="B1" s="294"/>
      <c r="C1" s="294"/>
      <c r="D1" s="294"/>
      <c r="E1" s="294"/>
      <c r="F1" s="294"/>
    </row>
    <row r="2" spans="1:6" ht="32.25" customHeight="1" x14ac:dyDescent="0.3">
      <c r="A2" s="294" t="s">
        <v>229</v>
      </c>
      <c r="B2" s="294"/>
      <c r="C2" s="294"/>
      <c r="D2" s="294"/>
      <c r="E2" s="294"/>
      <c r="F2" s="294"/>
    </row>
    <row r="3" spans="1:6" ht="32.25" customHeight="1" x14ac:dyDescent="0.3">
      <c r="A3" s="123" t="s">
        <v>33</v>
      </c>
      <c r="B3" s="123" t="s">
        <v>115</v>
      </c>
      <c r="C3" s="123" t="s">
        <v>116</v>
      </c>
      <c r="D3" s="123" t="s">
        <v>230</v>
      </c>
      <c r="E3" s="123" t="s">
        <v>231</v>
      </c>
      <c r="F3" s="123" t="s">
        <v>232</v>
      </c>
    </row>
    <row r="4" spans="1:6" ht="32.25" customHeight="1" x14ac:dyDescent="0.3">
      <c r="A4" s="129">
        <v>1</v>
      </c>
      <c r="B4" s="10"/>
      <c r="C4" s="10" t="s">
        <v>235</v>
      </c>
      <c r="D4" s="122">
        <v>20</v>
      </c>
      <c r="E4" s="9">
        <v>540</v>
      </c>
      <c r="F4" s="10" t="s">
        <v>236</v>
      </c>
    </row>
    <row r="5" spans="1:6" ht="32.25" customHeight="1" x14ac:dyDescent="0.3">
      <c r="A5" s="129">
        <v>2</v>
      </c>
      <c r="B5" s="10"/>
      <c r="C5" s="10" t="s">
        <v>235</v>
      </c>
      <c r="D5" s="125">
        <v>20</v>
      </c>
      <c r="E5" s="9">
        <v>540</v>
      </c>
      <c r="F5" s="10" t="s">
        <v>236</v>
      </c>
    </row>
    <row r="6" spans="1:6" ht="32.25" customHeight="1" x14ac:dyDescent="0.3">
      <c r="A6" s="129">
        <v>3</v>
      </c>
      <c r="B6" s="10"/>
      <c r="C6" s="10" t="s">
        <v>237</v>
      </c>
      <c r="D6" s="122">
        <v>1</v>
      </c>
      <c r="E6" s="9">
        <v>550</v>
      </c>
      <c r="F6" s="10" t="s">
        <v>236</v>
      </c>
    </row>
    <row r="7" spans="1:6" ht="32.25" customHeight="1" x14ac:dyDescent="0.3">
      <c r="A7" s="129">
        <v>4</v>
      </c>
      <c r="B7" s="10"/>
      <c r="C7" s="10" t="s">
        <v>239</v>
      </c>
      <c r="D7" s="122">
        <v>1</v>
      </c>
      <c r="E7" s="9">
        <v>1200</v>
      </c>
      <c r="F7" s="10" t="s">
        <v>236</v>
      </c>
    </row>
    <row r="8" spans="1:6" ht="32.25" customHeight="1" x14ac:dyDescent="0.3">
      <c r="A8" s="129">
        <v>5</v>
      </c>
      <c r="B8" s="10"/>
      <c r="C8" s="10" t="s">
        <v>240</v>
      </c>
      <c r="D8" s="122">
        <v>2</v>
      </c>
      <c r="E8" s="9"/>
      <c r="F8" s="10" t="s">
        <v>234</v>
      </c>
    </row>
    <row r="9" spans="1:6" ht="32.25" customHeight="1" x14ac:dyDescent="0.3">
      <c r="A9" s="129">
        <v>6</v>
      </c>
      <c r="B9" s="10"/>
      <c r="C9" s="10" t="s">
        <v>243</v>
      </c>
      <c r="D9" s="122">
        <v>1</v>
      </c>
      <c r="E9" s="9">
        <v>500</v>
      </c>
      <c r="F9" s="10" t="s">
        <v>236</v>
      </c>
    </row>
    <row r="10" spans="1:6" ht="32.25" customHeight="1" x14ac:dyDescent="0.3">
      <c r="A10" s="129">
        <v>7</v>
      </c>
      <c r="B10" s="10"/>
      <c r="C10" s="10" t="s">
        <v>170</v>
      </c>
      <c r="D10" s="128" t="s">
        <v>258</v>
      </c>
      <c r="E10" s="9">
        <v>46450</v>
      </c>
      <c r="F10" s="10" t="s">
        <v>236</v>
      </c>
    </row>
    <row r="11" spans="1:6" ht="32.25" customHeight="1" x14ac:dyDescent="0.3">
      <c r="A11" s="129">
        <v>8</v>
      </c>
      <c r="B11" s="10"/>
      <c r="C11" s="112" t="s">
        <v>165</v>
      </c>
      <c r="D11" s="124"/>
      <c r="E11" s="9">
        <v>35740</v>
      </c>
      <c r="F11" s="10" t="s">
        <v>236</v>
      </c>
    </row>
    <row r="12" spans="1:6" ht="32.25" customHeight="1" x14ac:dyDescent="0.3">
      <c r="A12" s="129">
        <v>9</v>
      </c>
      <c r="B12" s="10"/>
      <c r="C12" s="10" t="s">
        <v>233</v>
      </c>
      <c r="D12" s="122">
        <v>1</v>
      </c>
      <c r="E12" s="9">
        <v>2500</v>
      </c>
      <c r="F12" s="10" t="s">
        <v>234</v>
      </c>
    </row>
    <row r="13" spans="1:6" ht="32.25" customHeight="1" x14ac:dyDescent="0.3">
      <c r="A13" s="129">
        <v>10</v>
      </c>
      <c r="B13" s="10"/>
      <c r="C13" s="10" t="s">
        <v>235</v>
      </c>
      <c r="D13" s="122">
        <v>42</v>
      </c>
      <c r="E13" s="9"/>
      <c r="F13" s="10" t="s">
        <v>234</v>
      </c>
    </row>
    <row r="14" spans="1:6" ht="32.25" customHeight="1" x14ac:dyDescent="0.3">
      <c r="A14" s="129">
        <v>11</v>
      </c>
      <c r="B14" s="10"/>
      <c r="C14" s="10" t="s">
        <v>238</v>
      </c>
      <c r="D14" s="122">
        <v>2</v>
      </c>
      <c r="E14" s="9"/>
      <c r="F14" s="10" t="s">
        <v>234</v>
      </c>
    </row>
    <row r="15" spans="1:6" ht="32.25" customHeight="1" x14ac:dyDescent="0.3">
      <c r="A15" s="129">
        <v>12</v>
      </c>
      <c r="B15" s="10"/>
      <c r="C15" s="10" t="s">
        <v>239</v>
      </c>
      <c r="D15" s="122">
        <v>1</v>
      </c>
      <c r="E15" s="9"/>
      <c r="F15" s="10" t="s">
        <v>234</v>
      </c>
    </row>
    <row r="16" spans="1:6" ht="32.25" customHeight="1" x14ac:dyDescent="0.3">
      <c r="A16" s="129">
        <v>13</v>
      </c>
      <c r="B16" s="10"/>
      <c r="C16" s="10" t="s">
        <v>241</v>
      </c>
      <c r="D16" s="122">
        <v>1</v>
      </c>
      <c r="E16" s="9"/>
      <c r="F16" s="10" t="s">
        <v>234</v>
      </c>
    </row>
    <row r="17" spans="1:6" ht="32.25" customHeight="1" x14ac:dyDescent="0.3">
      <c r="A17" s="129">
        <v>14</v>
      </c>
      <c r="B17" s="10"/>
      <c r="C17" s="10" t="s">
        <v>242</v>
      </c>
      <c r="D17" s="122">
        <v>1</v>
      </c>
      <c r="E17" s="9"/>
      <c r="F17" s="10" t="s">
        <v>234</v>
      </c>
    </row>
    <row r="18" spans="1:6" ht="32.25" customHeight="1" x14ac:dyDescent="0.3">
      <c r="A18" s="129">
        <v>15</v>
      </c>
      <c r="B18" s="10"/>
      <c r="C18" s="10" t="s">
        <v>244</v>
      </c>
      <c r="D18" s="122">
        <v>1</v>
      </c>
      <c r="E18" s="9"/>
      <c r="F18" s="10" t="s">
        <v>234</v>
      </c>
    </row>
    <row r="19" spans="1:6" ht="32.25" customHeight="1" x14ac:dyDescent="0.3">
      <c r="A19" s="129">
        <v>16</v>
      </c>
      <c r="B19" s="10"/>
      <c r="C19" s="10" t="s">
        <v>259</v>
      </c>
      <c r="D19" s="127">
        <v>1</v>
      </c>
      <c r="E19" s="9">
        <v>5000</v>
      </c>
      <c r="F19" s="10" t="s">
        <v>234</v>
      </c>
    </row>
    <row r="20" spans="1:6" x14ac:dyDescent="0.3">
      <c r="A20" s="10"/>
      <c r="B20" s="10"/>
      <c r="C20" s="112" t="s">
        <v>423</v>
      </c>
      <c r="D20" s="129">
        <v>2</v>
      </c>
      <c r="E20" s="9">
        <v>3000</v>
      </c>
      <c r="F20" s="10"/>
    </row>
    <row r="21" spans="1:6" x14ac:dyDescent="0.3">
      <c r="A21" s="10"/>
      <c r="B21" s="10"/>
      <c r="C21" s="112" t="s">
        <v>424</v>
      </c>
      <c r="D21" s="129">
        <v>1</v>
      </c>
      <c r="E21" s="9">
        <v>550</v>
      </c>
      <c r="F21" s="10"/>
    </row>
    <row r="22" spans="1:6" x14ac:dyDescent="0.3">
      <c r="A22" s="10"/>
      <c r="B22" s="10"/>
      <c r="C22" s="112" t="s">
        <v>425</v>
      </c>
      <c r="D22" s="129">
        <v>1</v>
      </c>
      <c r="E22" s="9">
        <v>3600</v>
      </c>
      <c r="F22" s="10"/>
    </row>
    <row r="23" spans="1:6" x14ac:dyDescent="0.3">
      <c r="A23" s="10"/>
      <c r="B23" s="10"/>
      <c r="C23" s="112" t="s">
        <v>426</v>
      </c>
      <c r="D23" s="129">
        <v>3</v>
      </c>
      <c r="E23" s="10"/>
      <c r="F23" s="10" t="s">
        <v>234</v>
      </c>
    </row>
    <row r="24" spans="1:6" x14ac:dyDescent="0.3">
      <c r="A24" s="10"/>
      <c r="B24" s="10"/>
      <c r="C24" s="112" t="s">
        <v>436</v>
      </c>
      <c r="D24" s="129">
        <v>40</v>
      </c>
      <c r="E24" s="117">
        <v>3440</v>
      </c>
      <c r="F24" s="10"/>
    </row>
  </sheetData>
  <sortState ref="A4:F15">
    <sortCondition ref="F4:F15"/>
  </sortState>
  <mergeCells count="2">
    <mergeCell ref="A1:F1"/>
    <mergeCell ref="A2:F2"/>
  </mergeCells>
  <pageMargins left="0.7" right="0.7" top="0.75" bottom="0.75" header="0.3" footer="0.3"/>
  <pageSetup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2"/>
  <sheetViews>
    <sheetView topLeftCell="A242" zoomScaleNormal="100" workbookViewId="0">
      <selection activeCell="F267" sqref="F267"/>
    </sheetView>
  </sheetViews>
  <sheetFormatPr defaultRowHeight="14.4" x14ac:dyDescent="0.3"/>
  <cols>
    <col min="1" max="1" width="16.88671875" customWidth="1"/>
    <col min="2" max="2" width="13" customWidth="1"/>
    <col min="3" max="3" width="12.88671875" customWidth="1"/>
    <col min="4" max="4" width="11.44140625" customWidth="1"/>
    <col min="5" max="8" width="12.109375" customWidth="1"/>
    <col min="9" max="9" width="14.33203125" customWidth="1"/>
  </cols>
  <sheetData>
    <row r="1" spans="1:9" x14ac:dyDescent="0.3">
      <c r="A1" s="295" t="s">
        <v>136</v>
      </c>
      <c r="B1" s="296"/>
      <c r="C1" s="296"/>
      <c r="D1" s="296"/>
      <c r="E1" s="296"/>
      <c r="F1" s="296"/>
      <c r="G1" s="296"/>
      <c r="H1" s="296"/>
      <c r="I1" s="297"/>
    </row>
    <row r="2" spans="1:9" x14ac:dyDescent="0.3">
      <c r="A2" s="298" t="s">
        <v>461</v>
      </c>
      <c r="B2" s="299"/>
      <c r="C2" s="299"/>
      <c r="D2" s="299"/>
      <c r="E2" s="299"/>
      <c r="F2" s="299"/>
      <c r="G2" s="299"/>
      <c r="H2" s="299"/>
      <c r="I2" s="300"/>
    </row>
    <row r="3" spans="1:9" x14ac:dyDescent="0.3">
      <c r="A3" s="298" t="s">
        <v>462</v>
      </c>
      <c r="B3" s="299"/>
      <c r="C3" s="299"/>
      <c r="D3" s="299"/>
      <c r="E3" s="299"/>
      <c r="F3" s="299"/>
      <c r="G3" s="299"/>
      <c r="H3" s="299"/>
      <c r="I3" s="300"/>
    </row>
    <row r="4" spans="1:9" x14ac:dyDescent="0.3">
      <c r="A4" s="298" t="s">
        <v>463</v>
      </c>
      <c r="B4" s="299"/>
      <c r="C4" s="299"/>
      <c r="D4" s="299"/>
      <c r="E4" s="299"/>
      <c r="F4" s="299"/>
      <c r="G4" s="299"/>
      <c r="H4" s="299"/>
      <c r="I4" s="300"/>
    </row>
    <row r="5" spans="1:9" x14ac:dyDescent="0.3">
      <c r="A5" s="148"/>
      <c r="B5" s="142"/>
      <c r="C5" s="142"/>
      <c r="D5" s="142"/>
      <c r="E5" s="142"/>
      <c r="F5" s="142"/>
      <c r="G5" s="142"/>
      <c r="H5" s="142"/>
      <c r="I5" s="245"/>
    </row>
    <row r="6" spans="1:9" ht="20.399999999999999" customHeight="1" x14ac:dyDescent="0.3">
      <c r="A6" s="148" t="s">
        <v>457</v>
      </c>
      <c r="B6" s="142"/>
      <c r="C6" s="142" t="s">
        <v>458</v>
      </c>
      <c r="D6" s="142"/>
      <c r="E6" s="142"/>
      <c r="F6" s="142" t="s">
        <v>459</v>
      </c>
      <c r="G6" s="142" t="s">
        <v>469</v>
      </c>
      <c r="H6" s="142"/>
      <c r="I6" s="245"/>
    </row>
    <row r="7" spans="1:9" x14ac:dyDescent="0.3">
      <c r="A7" s="148" t="s">
        <v>468</v>
      </c>
      <c r="B7" s="142"/>
      <c r="C7" s="142"/>
      <c r="D7" s="142"/>
      <c r="E7" s="142"/>
      <c r="F7" s="142" t="s">
        <v>460</v>
      </c>
      <c r="G7" s="142"/>
      <c r="H7" s="142"/>
      <c r="I7" s="245"/>
    </row>
    <row r="8" spans="1:9" x14ac:dyDescent="0.3">
      <c r="A8" s="148"/>
      <c r="B8" s="142"/>
      <c r="C8" s="142"/>
      <c r="D8" s="142"/>
      <c r="E8" s="142"/>
      <c r="F8" s="142"/>
      <c r="G8" s="142"/>
      <c r="H8" s="142"/>
      <c r="I8" s="245"/>
    </row>
    <row r="9" spans="1:9" ht="21.6" customHeight="1" x14ac:dyDescent="0.3">
      <c r="A9" s="301" t="s">
        <v>450</v>
      </c>
      <c r="B9" s="302" t="s">
        <v>455</v>
      </c>
      <c r="C9" s="303" t="s">
        <v>456</v>
      </c>
      <c r="D9" s="303" t="s">
        <v>31</v>
      </c>
      <c r="E9" s="242" t="s">
        <v>464</v>
      </c>
      <c r="F9" s="242" t="s">
        <v>465</v>
      </c>
      <c r="G9" s="242" t="s">
        <v>466</v>
      </c>
      <c r="H9" s="304" t="s">
        <v>471</v>
      </c>
      <c r="I9" s="246" t="s">
        <v>467</v>
      </c>
    </row>
    <row r="10" spans="1:9" s="239" customFormat="1" ht="28.95" customHeight="1" x14ac:dyDescent="0.3">
      <c r="A10" s="301"/>
      <c r="B10" s="302"/>
      <c r="C10" s="303"/>
      <c r="D10" s="303"/>
      <c r="E10" s="243">
        <v>0.4</v>
      </c>
      <c r="F10" s="243">
        <v>0.09</v>
      </c>
      <c r="G10" s="243">
        <v>0.13</v>
      </c>
      <c r="H10" s="305"/>
      <c r="I10" s="247">
        <v>0.38</v>
      </c>
    </row>
    <row r="11" spans="1:9" s="239" customFormat="1" ht="28.95" customHeight="1" x14ac:dyDescent="0.3">
      <c r="A11" s="248"/>
      <c r="B11" s="244" t="s">
        <v>113</v>
      </c>
      <c r="C11" s="244" t="s">
        <v>113</v>
      </c>
      <c r="D11" s="244" t="s">
        <v>113</v>
      </c>
      <c r="E11" s="244" t="s">
        <v>113</v>
      </c>
      <c r="F11" s="244" t="s">
        <v>113</v>
      </c>
      <c r="G11" s="244" t="s">
        <v>113</v>
      </c>
      <c r="H11" s="252" t="s">
        <v>113</v>
      </c>
      <c r="I11" s="249" t="s">
        <v>113</v>
      </c>
    </row>
    <row r="12" spans="1:9" x14ac:dyDescent="0.3">
      <c r="A12" s="105" t="s">
        <v>144</v>
      </c>
      <c r="B12" s="20">
        <f>'RECEIPTS AND PAYMENT ANANLYSIS'!B9</f>
        <v>2085</v>
      </c>
      <c r="C12" s="20">
        <f>'RECEIPTS AND PAYMENT ANANLYSIS'!B10</f>
        <v>482.59999999999997</v>
      </c>
      <c r="D12" s="20">
        <f>SUM(B12:C12)</f>
        <v>2567.6</v>
      </c>
      <c r="E12" s="9">
        <f>D12*$E$10</f>
        <v>1027.04</v>
      </c>
      <c r="F12" s="9">
        <f>D12*$F$10</f>
        <v>231.08399999999997</v>
      </c>
      <c r="G12" s="9">
        <f>D12*$G$10</f>
        <v>333.78800000000001</v>
      </c>
      <c r="H12" s="253">
        <f>SUM(E12:G12)</f>
        <v>1591.912</v>
      </c>
      <c r="I12" s="104">
        <f>D12*$I$10</f>
        <v>975.68799999999999</v>
      </c>
    </row>
    <row r="13" spans="1:9" x14ac:dyDescent="0.3">
      <c r="A13" s="105" t="s">
        <v>141</v>
      </c>
      <c r="B13" s="20">
        <f>'RECEIPTS AND PAYMENT ANANLYSIS'!B8</f>
        <v>2682.2</v>
      </c>
      <c r="C13" s="10"/>
      <c r="D13" s="20">
        <f t="shared" ref="D13:D17" si="0">SUM(B13:C13)</f>
        <v>2682.2</v>
      </c>
      <c r="E13" s="9">
        <f t="shared" ref="E13:E17" si="1">D13*$E$10</f>
        <v>1072.8799999999999</v>
      </c>
      <c r="F13" s="9">
        <f t="shared" ref="F13:F17" si="2">D13*$F$10</f>
        <v>241.39799999999997</v>
      </c>
      <c r="G13" s="9">
        <f t="shared" ref="G13:G17" si="3">D13*$G$10</f>
        <v>348.68599999999998</v>
      </c>
      <c r="H13" s="253">
        <f t="shared" ref="H13:H17" si="4">SUM(E13:G13)</f>
        <v>1662.9639999999997</v>
      </c>
      <c r="I13" s="104">
        <f t="shared" ref="I13:I17" si="5">D13*$I$10</f>
        <v>1019.236</v>
      </c>
    </row>
    <row r="14" spans="1:9" x14ac:dyDescent="0.3">
      <c r="A14" s="105" t="s">
        <v>451</v>
      </c>
      <c r="B14" s="10"/>
      <c r="C14" s="10"/>
      <c r="D14" s="20">
        <f t="shared" si="0"/>
        <v>0</v>
      </c>
      <c r="E14" s="9">
        <f t="shared" si="1"/>
        <v>0</v>
      </c>
      <c r="F14" s="9">
        <f t="shared" si="2"/>
        <v>0</v>
      </c>
      <c r="G14" s="9">
        <f t="shared" si="3"/>
        <v>0</v>
      </c>
      <c r="H14" s="253">
        <f t="shared" si="4"/>
        <v>0</v>
      </c>
      <c r="I14" s="104">
        <f t="shared" si="5"/>
        <v>0</v>
      </c>
    </row>
    <row r="15" spans="1:9" x14ac:dyDescent="0.3">
      <c r="A15" s="105" t="s">
        <v>452</v>
      </c>
      <c r="B15" s="20">
        <f>'RECEIPTS AND PAYMENT ANANLYSIS'!B11</f>
        <v>350</v>
      </c>
      <c r="C15" s="10"/>
      <c r="D15" s="20">
        <f t="shared" si="0"/>
        <v>350</v>
      </c>
      <c r="E15" s="9">
        <f t="shared" si="1"/>
        <v>140</v>
      </c>
      <c r="F15" s="9">
        <f t="shared" si="2"/>
        <v>31.5</v>
      </c>
      <c r="G15" s="9">
        <f t="shared" si="3"/>
        <v>45.5</v>
      </c>
      <c r="H15" s="253">
        <f t="shared" si="4"/>
        <v>217</v>
      </c>
      <c r="I15" s="104">
        <f t="shared" si="5"/>
        <v>133</v>
      </c>
    </row>
    <row r="16" spans="1:9" x14ac:dyDescent="0.3">
      <c r="A16" s="105" t="s">
        <v>453</v>
      </c>
      <c r="B16" s="10"/>
      <c r="C16" s="10"/>
      <c r="D16" s="20">
        <f t="shared" si="0"/>
        <v>0</v>
      </c>
      <c r="E16" s="9">
        <f t="shared" si="1"/>
        <v>0</v>
      </c>
      <c r="F16" s="9">
        <f t="shared" si="2"/>
        <v>0</v>
      </c>
      <c r="G16" s="9">
        <f t="shared" si="3"/>
        <v>0</v>
      </c>
      <c r="H16" s="253">
        <f t="shared" si="4"/>
        <v>0</v>
      </c>
      <c r="I16" s="104">
        <f t="shared" si="5"/>
        <v>0</v>
      </c>
    </row>
    <row r="17" spans="1:9" x14ac:dyDescent="0.3">
      <c r="A17" s="105" t="s">
        <v>145</v>
      </c>
      <c r="B17" s="20">
        <f>'RECEIPTS AND PAYMENT ANANLYSIS'!B14</f>
        <v>0</v>
      </c>
      <c r="C17" s="10"/>
      <c r="D17" s="20">
        <f t="shared" si="0"/>
        <v>0</v>
      </c>
      <c r="E17" s="9">
        <f t="shared" si="1"/>
        <v>0</v>
      </c>
      <c r="F17" s="9">
        <f t="shared" si="2"/>
        <v>0</v>
      </c>
      <c r="G17" s="9">
        <f t="shared" si="3"/>
        <v>0</v>
      </c>
      <c r="H17" s="253">
        <f t="shared" si="4"/>
        <v>0</v>
      </c>
      <c r="I17" s="104">
        <f t="shared" si="5"/>
        <v>0</v>
      </c>
    </row>
    <row r="18" spans="1:9" ht="15" thickBot="1" x14ac:dyDescent="0.35">
      <c r="A18" s="151" t="s">
        <v>454</v>
      </c>
      <c r="B18" s="250">
        <f t="shared" ref="B18:C18" si="6">SUM(B12:B17)</f>
        <v>5117.2</v>
      </c>
      <c r="C18" s="250">
        <f t="shared" si="6"/>
        <v>482.59999999999997</v>
      </c>
      <c r="D18" s="250">
        <f>SUM(D12:D17)</f>
        <v>5599.7999999999993</v>
      </c>
      <c r="E18" s="250">
        <f t="shared" ref="E18:I18" si="7">SUM(E12:E17)</f>
        <v>2239.92</v>
      </c>
      <c r="F18" s="250">
        <f t="shared" si="7"/>
        <v>503.98199999999997</v>
      </c>
      <c r="G18" s="250">
        <f t="shared" si="7"/>
        <v>727.97399999999993</v>
      </c>
      <c r="H18" s="254">
        <f t="shared" si="7"/>
        <v>3471.8759999999997</v>
      </c>
      <c r="I18" s="251">
        <f t="shared" si="7"/>
        <v>2127.924</v>
      </c>
    </row>
    <row r="20" spans="1:9" ht="15" thickBot="1" x14ac:dyDescent="0.35"/>
    <row r="21" spans="1:9" x14ac:dyDescent="0.3">
      <c r="A21" s="295" t="s">
        <v>136</v>
      </c>
      <c r="B21" s="296"/>
      <c r="C21" s="296"/>
      <c r="D21" s="296"/>
      <c r="E21" s="296"/>
      <c r="F21" s="296"/>
      <c r="G21" s="296"/>
      <c r="H21" s="296"/>
      <c r="I21" s="297"/>
    </row>
    <row r="22" spans="1:9" x14ac:dyDescent="0.3">
      <c r="A22" s="298" t="s">
        <v>461</v>
      </c>
      <c r="B22" s="299"/>
      <c r="C22" s="299"/>
      <c r="D22" s="299"/>
      <c r="E22" s="299"/>
      <c r="F22" s="299"/>
      <c r="G22" s="299"/>
      <c r="H22" s="299"/>
      <c r="I22" s="300"/>
    </row>
    <row r="23" spans="1:9" x14ac:dyDescent="0.3">
      <c r="A23" s="298" t="s">
        <v>462</v>
      </c>
      <c r="B23" s="299"/>
      <c r="C23" s="299"/>
      <c r="D23" s="299"/>
      <c r="E23" s="299"/>
      <c r="F23" s="299"/>
      <c r="G23" s="299"/>
      <c r="H23" s="299"/>
      <c r="I23" s="300"/>
    </row>
    <row r="24" spans="1:9" x14ac:dyDescent="0.3">
      <c r="A24" s="298" t="s">
        <v>463</v>
      </c>
      <c r="B24" s="299"/>
      <c r="C24" s="299"/>
      <c r="D24" s="299"/>
      <c r="E24" s="299"/>
      <c r="F24" s="299"/>
      <c r="G24" s="299"/>
      <c r="H24" s="299"/>
      <c r="I24" s="300"/>
    </row>
    <row r="25" spans="1:9" x14ac:dyDescent="0.3">
      <c r="A25" s="148"/>
      <c r="B25" s="142"/>
      <c r="C25" s="142"/>
      <c r="D25" s="142"/>
      <c r="E25" s="142"/>
      <c r="F25" s="142"/>
      <c r="G25" s="142"/>
      <c r="H25" s="142"/>
      <c r="I25" s="245"/>
    </row>
    <row r="26" spans="1:9" ht="20.399999999999999" customHeight="1" x14ac:dyDescent="0.3">
      <c r="A26" s="148" t="s">
        <v>457</v>
      </c>
      <c r="B26" s="142"/>
      <c r="C26" s="142" t="s">
        <v>458</v>
      </c>
      <c r="D26" s="142"/>
      <c r="E26" s="142"/>
      <c r="F26" s="142" t="s">
        <v>459</v>
      </c>
      <c r="G26" s="142" t="s">
        <v>130</v>
      </c>
      <c r="H26" s="142"/>
      <c r="I26" s="245"/>
    </row>
    <row r="27" spans="1:9" x14ac:dyDescent="0.3">
      <c r="A27" s="148" t="s">
        <v>468</v>
      </c>
      <c r="B27" s="142"/>
      <c r="C27" s="142"/>
      <c r="D27" s="142"/>
      <c r="E27" s="142"/>
      <c r="F27" s="142" t="s">
        <v>460</v>
      </c>
      <c r="G27" s="142"/>
      <c r="H27" s="142"/>
      <c r="I27" s="245"/>
    </row>
    <row r="28" spans="1:9" x14ac:dyDescent="0.3">
      <c r="A28" s="148"/>
      <c r="B28" s="142"/>
      <c r="C28" s="142"/>
      <c r="D28" s="142"/>
      <c r="E28" s="142"/>
      <c r="F28" s="142"/>
      <c r="G28" s="142"/>
      <c r="H28" s="142"/>
      <c r="I28" s="245"/>
    </row>
    <row r="29" spans="1:9" ht="21.6" customHeight="1" x14ac:dyDescent="0.3">
      <c r="A29" s="301" t="s">
        <v>450</v>
      </c>
      <c r="B29" s="302" t="s">
        <v>455</v>
      </c>
      <c r="C29" s="303" t="s">
        <v>456</v>
      </c>
      <c r="D29" s="303" t="s">
        <v>31</v>
      </c>
      <c r="E29" s="242" t="s">
        <v>464</v>
      </c>
      <c r="F29" s="242" t="s">
        <v>465</v>
      </c>
      <c r="G29" s="242" t="s">
        <v>466</v>
      </c>
      <c r="H29" s="304" t="s">
        <v>471</v>
      </c>
      <c r="I29" s="246" t="s">
        <v>467</v>
      </c>
    </row>
    <row r="30" spans="1:9" s="239" customFormat="1" ht="28.95" customHeight="1" x14ac:dyDescent="0.3">
      <c r="A30" s="301"/>
      <c r="B30" s="302"/>
      <c r="C30" s="303"/>
      <c r="D30" s="303"/>
      <c r="E30" s="243">
        <v>0.4</v>
      </c>
      <c r="F30" s="243">
        <v>0.09</v>
      </c>
      <c r="G30" s="243">
        <v>0.13</v>
      </c>
      <c r="H30" s="305"/>
      <c r="I30" s="247">
        <v>0.38</v>
      </c>
    </row>
    <row r="31" spans="1:9" s="239" customFormat="1" ht="28.95" customHeight="1" x14ac:dyDescent="0.3">
      <c r="A31" s="248"/>
      <c r="B31" s="244" t="s">
        <v>113</v>
      </c>
      <c r="C31" s="244" t="s">
        <v>113</v>
      </c>
      <c r="D31" s="244" t="s">
        <v>113</v>
      </c>
      <c r="E31" s="244" t="s">
        <v>113</v>
      </c>
      <c r="F31" s="244" t="s">
        <v>113</v>
      </c>
      <c r="G31" s="244" t="s">
        <v>113</v>
      </c>
      <c r="H31" s="252" t="s">
        <v>113</v>
      </c>
      <c r="I31" s="249" t="s">
        <v>113</v>
      </c>
    </row>
    <row r="32" spans="1:9" x14ac:dyDescent="0.3">
      <c r="A32" s="105" t="s">
        <v>144</v>
      </c>
      <c r="B32" s="20">
        <f>'RECEIPTS AND PAYMENT ANANLYSIS'!C9</f>
        <v>9010</v>
      </c>
      <c r="C32" s="20">
        <f>'RECEIPTS AND PAYMENT ANANLYSIS'!C10</f>
        <v>260</v>
      </c>
      <c r="D32" s="20">
        <f>SUM(B32:C32)</f>
        <v>9270</v>
      </c>
      <c r="E32" s="9">
        <f>D32*$E$10</f>
        <v>3708</v>
      </c>
      <c r="F32" s="9">
        <f>D32*$F$10</f>
        <v>834.3</v>
      </c>
      <c r="G32" s="9">
        <f>D32*$G$10</f>
        <v>1205.1000000000001</v>
      </c>
      <c r="H32" s="253">
        <f>SUM(E32:G32)</f>
        <v>5747.4000000000005</v>
      </c>
      <c r="I32" s="104">
        <f>D32*$I$10</f>
        <v>3522.6</v>
      </c>
    </row>
    <row r="33" spans="1:9" x14ac:dyDescent="0.3">
      <c r="A33" s="105" t="s">
        <v>141</v>
      </c>
      <c r="B33" s="20">
        <f>'RECEIPTS AND PAYMENT ANANLYSIS'!C8</f>
        <v>2715.3</v>
      </c>
      <c r="C33" s="10"/>
      <c r="D33" s="20">
        <f t="shared" ref="D33:D37" si="8">SUM(B33:C33)</f>
        <v>2715.3</v>
      </c>
      <c r="E33" s="9">
        <f t="shared" ref="E33:E37" si="9">D33*$E$10</f>
        <v>1086.1200000000001</v>
      </c>
      <c r="F33" s="9">
        <f t="shared" ref="F33:F37" si="10">D33*$F$10</f>
        <v>244.37700000000001</v>
      </c>
      <c r="G33" s="9">
        <f t="shared" ref="G33:G37" si="11">D33*$G$10</f>
        <v>352.98900000000003</v>
      </c>
      <c r="H33" s="253">
        <f t="shared" ref="H33:H37" si="12">SUM(E33:G33)</f>
        <v>1683.4860000000001</v>
      </c>
      <c r="I33" s="104">
        <f t="shared" ref="I33:I37" si="13">D33*$I$10</f>
        <v>1031.8140000000001</v>
      </c>
    </row>
    <row r="34" spans="1:9" x14ac:dyDescent="0.3">
      <c r="A34" s="105" t="s">
        <v>451</v>
      </c>
      <c r="B34" s="10"/>
      <c r="C34" s="10"/>
      <c r="D34" s="20">
        <f t="shared" si="8"/>
        <v>0</v>
      </c>
      <c r="E34" s="9">
        <f t="shared" si="9"/>
        <v>0</v>
      </c>
      <c r="F34" s="9">
        <f t="shared" si="10"/>
        <v>0</v>
      </c>
      <c r="G34" s="9">
        <f t="shared" si="11"/>
        <v>0</v>
      </c>
      <c r="H34" s="253">
        <f t="shared" si="12"/>
        <v>0</v>
      </c>
      <c r="I34" s="104">
        <f t="shared" si="13"/>
        <v>0</v>
      </c>
    </row>
    <row r="35" spans="1:9" x14ac:dyDescent="0.3">
      <c r="A35" s="105" t="s">
        <v>452</v>
      </c>
      <c r="B35" s="20">
        <f>'RECEIPTS AND PAYMENT ANANLYSIS'!C11</f>
        <v>200</v>
      </c>
      <c r="C35" s="10"/>
      <c r="D35" s="20">
        <f t="shared" si="8"/>
        <v>200</v>
      </c>
      <c r="E35" s="9">
        <f t="shared" si="9"/>
        <v>80</v>
      </c>
      <c r="F35" s="9">
        <f t="shared" si="10"/>
        <v>18</v>
      </c>
      <c r="G35" s="9">
        <f t="shared" si="11"/>
        <v>26</v>
      </c>
      <c r="H35" s="253">
        <f t="shared" si="12"/>
        <v>124</v>
      </c>
      <c r="I35" s="104">
        <f t="shared" si="13"/>
        <v>76</v>
      </c>
    </row>
    <row r="36" spans="1:9" x14ac:dyDescent="0.3">
      <c r="A36" s="105" t="s">
        <v>453</v>
      </c>
      <c r="B36" s="10"/>
      <c r="C36" s="10"/>
      <c r="D36" s="20">
        <f t="shared" si="8"/>
        <v>0</v>
      </c>
      <c r="E36" s="9">
        <f t="shared" si="9"/>
        <v>0</v>
      </c>
      <c r="F36" s="9">
        <f t="shared" si="10"/>
        <v>0</v>
      </c>
      <c r="G36" s="9">
        <f t="shared" si="11"/>
        <v>0</v>
      </c>
      <c r="H36" s="253">
        <f t="shared" si="12"/>
        <v>0</v>
      </c>
      <c r="I36" s="104">
        <f t="shared" si="13"/>
        <v>0</v>
      </c>
    </row>
    <row r="37" spans="1:9" x14ac:dyDescent="0.3">
      <c r="A37" s="105" t="s">
        <v>145</v>
      </c>
      <c r="B37" s="20">
        <f>'RECEIPTS AND PAYMENT ANANLYSIS'!C14</f>
        <v>0</v>
      </c>
      <c r="C37" s="10"/>
      <c r="D37" s="20">
        <f t="shared" si="8"/>
        <v>0</v>
      </c>
      <c r="E37" s="9">
        <f t="shared" si="9"/>
        <v>0</v>
      </c>
      <c r="F37" s="9">
        <f t="shared" si="10"/>
        <v>0</v>
      </c>
      <c r="G37" s="9">
        <f t="shared" si="11"/>
        <v>0</v>
      </c>
      <c r="H37" s="253">
        <f t="shared" si="12"/>
        <v>0</v>
      </c>
      <c r="I37" s="104">
        <f t="shared" si="13"/>
        <v>0</v>
      </c>
    </row>
    <row r="38" spans="1:9" ht="15" thickBot="1" x14ac:dyDescent="0.35">
      <c r="A38" s="151" t="s">
        <v>454</v>
      </c>
      <c r="B38" s="250">
        <f t="shared" ref="B38" si="14">SUM(B32:B37)</f>
        <v>11925.3</v>
      </c>
      <c r="C38" s="250">
        <f t="shared" ref="C38" si="15">SUM(C32:C37)</f>
        <v>260</v>
      </c>
      <c r="D38" s="250">
        <f>SUM(D32:D37)</f>
        <v>12185.3</v>
      </c>
      <c r="E38" s="250">
        <f t="shared" ref="E38" si="16">SUM(E32:E37)</f>
        <v>4874.12</v>
      </c>
      <c r="F38" s="250">
        <f t="shared" ref="F38" si="17">SUM(F32:F37)</f>
        <v>1096.6769999999999</v>
      </c>
      <c r="G38" s="250">
        <f t="shared" ref="G38:H38" si="18">SUM(G32:G37)</f>
        <v>1584.0890000000002</v>
      </c>
      <c r="H38" s="254">
        <f t="shared" si="18"/>
        <v>7554.8860000000004</v>
      </c>
      <c r="I38" s="251">
        <f t="shared" ref="I38" si="19">SUM(I32:I37)</f>
        <v>4630.4139999999998</v>
      </c>
    </row>
    <row r="40" spans="1:9" ht="15" thickBot="1" x14ac:dyDescent="0.35"/>
    <row r="41" spans="1:9" x14ac:dyDescent="0.3">
      <c r="A41" s="295" t="s">
        <v>136</v>
      </c>
      <c r="B41" s="296"/>
      <c r="C41" s="296"/>
      <c r="D41" s="296"/>
      <c r="E41" s="296"/>
      <c r="F41" s="296"/>
      <c r="G41" s="296"/>
      <c r="H41" s="296"/>
      <c r="I41" s="297"/>
    </row>
    <row r="42" spans="1:9" x14ac:dyDescent="0.3">
      <c r="A42" s="298" t="s">
        <v>461</v>
      </c>
      <c r="B42" s="299"/>
      <c r="C42" s="299"/>
      <c r="D42" s="299"/>
      <c r="E42" s="299"/>
      <c r="F42" s="299"/>
      <c r="G42" s="299"/>
      <c r="H42" s="299"/>
      <c r="I42" s="300"/>
    </row>
    <row r="43" spans="1:9" x14ac:dyDescent="0.3">
      <c r="A43" s="298" t="s">
        <v>462</v>
      </c>
      <c r="B43" s="299"/>
      <c r="C43" s="299"/>
      <c r="D43" s="299"/>
      <c r="E43" s="299"/>
      <c r="F43" s="299"/>
      <c r="G43" s="299"/>
      <c r="H43" s="299"/>
      <c r="I43" s="300"/>
    </row>
    <row r="44" spans="1:9" x14ac:dyDescent="0.3">
      <c r="A44" s="298" t="s">
        <v>463</v>
      </c>
      <c r="B44" s="299"/>
      <c r="C44" s="299"/>
      <c r="D44" s="299"/>
      <c r="E44" s="299"/>
      <c r="F44" s="299"/>
      <c r="G44" s="299"/>
      <c r="H44" s="299"/>
      <c r="I44" s="300"/>
    </row>
    <row r="45" spans="1:9" x14ac:dyDescent="0.3">
      <c r="A45" s="148"/>
      <c r="B45" s="142"/>
      <c r="C45" s="142"/>
      <c r="D45" s="142"/>
      <c r="E45" s="142"/>
      <c r="F45" s="142"/>
      <c r="G45" s="142"/>
      <c r="H45" s="142"/>
      <c r="I45" s="245"/>
    </row>
    <row r="46" spans="1:9" ht="20.399999999999999" customHeight="1" x14ac:dyDescent="0.3">
      <c r="A46" s="148" t="s">
        <v>457</v>
      </c>
      <c r="B46" s="142"/>
      <c r="C46" s="142" t="s">
        <v>458</v>
      </c>
      <c r="D46" s="142"/>
      <c r="E46" s="142"/>
      <c r="F46" s="142" t="s">
        <v>459</v>
      </c>
      <c r="G46" s="142" t="s">
        <v>124</v>
      </c>
      <c r="H46" s="142"/>
      <c r="I46" s="245"/>
    </row>
    <row r="47" spans="1:9" x14ac:dyDescent="0.3">
      <c r="A47" s="148" t="s">
        <v>468</v>
      </c>
      <c r="B47" s="142"/>
      <c r="C47" s="142"/>
      <c r="D47" s="142"/>
      <c r="E47" s="142"/>
      <c r="F47" s="142" t="s">
        <v>460</v>
      </c>
      <c r="G47" s="142"/>
      <c r="H47" s="142"/>
      <c r="I47" s="245"/>
    </row>
    <row r="48" spans="1:9" x14ac:dyDescent="0.3">
      <c r="A48" s="148"/>
      <c r="B48" s="142"/>
      <c r="C48" s="142"/>
      <c r="D48" s="142"/>
      <c r="E48" s="142"/>
      <c r="F48" s="142"/>
      <c r="G48" s="142"/>
      <c r="H48" s="142"/>
      <c r="I48" s="245"/>
    </row>
    <row r="49" spans="1:9" ht="21.6" customHeight="1" x14ac:dyDescent="0.3">
      <c r="A49" s="301" t="s">
        <v>450</v>
      </c>
      <c r="B49" s="302" t="s">
        <v>455</v>
      </c>
      <c r="C49" s="303" t="s">
        <v>456</v>
      </c>
      <c r="D49" s="303" t="s">
        <v>31</v>
      </c>
      <c r="E49" s="242" t="s">
        <v>464</v>
      </c>
      <c r="F49" s="242" t="s">
        <v>465</v>
      </c>
      <c r="G49" s="242" t="s">
        <v>466</v>
      </c>
      <c r="H49" s="304" t="s">
        <v>471</v>
      </c>
      <c r="I49" s="246" t="s">
        <v>467</v>
      </c>
    </row>
    <row r="50" spans="1:9" s="239" customFormat="1" ht="28.95" customHeight="1" x14ac:dyDescent="0.3">
      <c r="A50" s="301"/>
      <c r="B50" s="302"/>
      <c r="C50" s="303"/>
      <c r="D50" s="303"/>
      <c r="E50" s="243">
        <v>0.4</v>
      </c>
      <c r="F50" s="243">
        <v>0.09</v>
      </c>
      <c r="G50" s="243">
        <v>0.13</v>
      </c>
      <c r="H50" s="305"/>
      <c r="I50" s="247">
        <v>0.38</v>
      </c>
    </row>
    <row r="51" spans="1:9" s="239" customFormat="1" ht="28.95" customHeight="1" x14ac:dyDescent="0.3">
      <c r="A51" s="248"/>
      <c r="B51" s="244" t="s">
        <v>113</v>
      </c>
      <c r="C51" s="244" t="s">
        <v>113</v>
      </c>
      <c r="D51" s="244" t="s">
        <v>113</v>
      </c>
      <c r="E51" s="244" t="s">
        <v>113</v>
      </c>
      <c r="F51" s="244" t="s">
        <v>113</v>
      </c>
      <c r="G51" s="244" t="s">
        <v>113</v>
      </c>
      <c r="H51" s="252" t="s">
        <v>113</v>
      </c>
      <c r="I51" s="249" t="s">
        <v>113</v>
      </c>
    </row>
    <row r="52" spans="1:9" x14ac:dyDescent="0.3">
      <c r="A52" s="105" t="s">
        <v>144</v>
      </c>
      <c r="B52" s="20">
        <f>'RECEIPTS AND PAYMENT ANANLYSIS'!D9</f>
        <v>10180</v>
      </c>
      <c r="C52" s="20">
        <f>'RECEIPTS AND PAYMENT ANANLYSIS'!D10</f>
        <v>218.5</v>
      </c>
      <c r="D52" s="20">
        <f>SUM(B52:C52)</f>
        <v>10398.5</v>
      </c>
      <c r="E52" s="9">
        <f>D52*$E$10</f>
        <v>4159.4000000000005</v>
      </c>
      <c r="F52" s="9">
        <f>D52*$F$10</f>
        <v>935.86500000000001</v>
      </c>
      <c r="G52" s="9">
        <f>D52*$G$10</f>
        <v>1351.8050000000001</v>
      </c>
      <c r="H52" s="253">
        <f>SUM(E52:G52)</f>
        <v>6447.0700000000006</v>
      </c>
      <c r="I52" s="104">
        <f>D52*$I$10</f>
        <v>3951.43</v>
      </c>
    </row>
    <row r="53" spans="1:9" x14ac:dyDescent="0.3">
      <c r="A53" s="105" t="s">
        <v>141</v>
      </c>
      <c r="B53" s="20">
        <f>'RECEIPTS AND PAYMENT ANANLYSIS'!D8</f>
        <v>4454.3999999999996</v>
      </c>
      <c r="C53" s="10"/>
      <c r="D53" s="20">
        <f t="shared" ref="D53:D57" si="20">SUM(B53:C53)</f>
        <v>4454.3999999999996</v>
      </c>
      <c r="E53" s="9">
        <f t="shared" ref="E53:E57" si="21">D53*$E$10</f>
        <v>1781.76</v>
      </c>
      <c r="F53" s="9">
        <f t="shared" ref="F53:F57" si="22">D53*$F$10</f>
        <v>400.89599999999996</v>
      </c>
      <c r="G53" s="9">
        <f t="shared" ref="G53:G57" si="23">D53*$G$10</f>
        <v>579.072</v>
      </c>
      <c r="H53" s="253">
        <f t="shared" ref="H53:H57" si="24">SUM(E53:G53)</f>
        <v>2761.7280000000001</v>
      </c>
      <c r="I53" s="104">
        <f t="shared" ref="I53:I57" si="25">D53*$I$10</f>
        <v>1692.6719999999998</v>
      </c>
    </row>
    <row r="54" spans="1:9" x14ac:dyDescent="0.3">
      <c r="A54" s="105" t="s">
        <v>451</v>
      </c>
      <c r="B54" s="10"/>
      <c r="C54" s="10"/>
      <c r="D54" s="20">
        <f t="shared" si="20"/>
        <v>0</v>
      </c>
      <c r="E54" s="9">
        <f t="shared" si="21"/>
        <v>0</v>
      </c>
      <c r="F54" s="9">
        <f t="shared" si="22"/>
        <v>0</v>
      </c>
      <c r="G54" s="9">
        <f t="shared" si="23"/>
        <v>0</v>
      </c>
      <c r="H54" s="253">
        <f t="shared" si="24"/>
        <v>0</v>
      </c>
      <c r="I54" s="104">
        <f t="shared" si="25"/>
        <v>0</v>
      </c>
    </row>
    <row r="55" spans="1:9" x14ac:dyDescent="0.3">
      <c r="A55" s="105" t="s">
        <v>452</v>
      </c>
      <c r="B55" s="20">
        <f>'RECEIPTS AND PAYMENT ANANLYSIS'!D11</f>
        <v>50</v>
      </c>
      <c r="C55" s="10"/>
      <c r="D55" s="20">
        <f t="shared" si="20"/>
        <v>50</v>
      </c>
      <c r="E55" s="9">
        <f t="shared" si="21"/>
        <v>20</v>
      </c>
      <c r="F55" s="9">
        <f t="shared" si="22"/>
        <v>4.5</v>
      </c>
      <c r="G55" s="9">
        <f t="shared" si="23"/>
        <v>6.5</v>
      </c>
      <c r="H55" s="253">
        <f t="shared" si="24"/>
        <v>31</v>
      </c>
      <c r="I55" s="104">
        <f t="shared" si="25"/>
        <v>19</v>
      </c>
    </row>
    <row r="56" spans="1:9" x14ac:dyDescent="0.3">
      <c r="A56" s="105" t="s">
        <v>453</v>
      </c>
      <c r="B56" s="10"/>
      <c r="C56" s="10"/>
      <c r="D56" s="20">
        <f t="shared" si="20"/>
        <v>0</v>
      </c>
      <c r="E56" s="9">
        <f t="shared" si="21"/>
        <v>0</v>
      </c>
      <c r="F56" s="9">
        <f t="shared" si="22"/>
        <v>0</v>
      </c>
      <c r="G56" s="9">
        <f t="shared" si="23"/>
        <v>0</v>
      </c>
      <c r="H56" s="253">
        <f t="shared" si="24"/>
        <v>0</v>
      </c>
      <c r="I56" s="104">
        <f t="shared" si="25"/>
        <v>0</v>
      </c>
    </row>
    <row r="57" spans="1:9" x14ac:dyDescent="0.3">
      <c r="A57" s="105" t="s">
        <v>145</v>
      </c>
      <c r="B57" s="20">
        <f>'RECEIPTS AND PAYMENT ANANLYSIS'!D14</f>
        <v>0</v>
      </c>
      <c r="C57" s="10"/>
      <c r="D57" s="20">
        <f t="shared" si="20"/>
        <v>0</v>
      </c>
      <c r="E57" s="9">
        <f t="shared" si="21"/>
        <v>0</v>
      </c>
      <c r="F57" s="9">
        <f t="shared" si="22"/>
        <v>0</v>
      </c>
      <c r="G57" s="9">
        <f t="shared" si="23"/>
        <v>0</v>
      </c>
      <c r="H57" s="253">
        <f t="shared" si="24"/>
        <v>0</v>
      </c>
      <c r="I57" s="104">
        <f t="shared" si="25"/>
        <v>0</v>
      </c>
    </row>
    <row r="58" spans="1:9" ht="15" thickBot="1" x14ac:dyDescent="0.35">
      <c r="A58" s="151" t="s">
        <v>454</v>
      </c>
      <c r="B58" s="250">
        <f t="shared" ref="B58" si="26">SUM(B52:B57)</f>
        <v>14684.4</v>
      </c>
      <c r="C58" s="250">
        <f t="shared" ref="C58" si="27">SUM(C52:C57)</f>
        <v>218.5</v>
      </c>
      <c r="D58" s="250">
        <f>SUM(D52:D57)</f>
        <v>14902.9</v>
      </c>
      <c r="E58" s="250">
        <f t="shared" ref="E58" si="28">SUM(E52:E57)</f>
        <v>5961.1600000000008</v>
      </c>
      <c r="F58" s="250">
        <f t="shared" ref="F58" si="29">SUM(F52:F57)</f>
        <v>1341.261</v>
      </c>
      <c r="G58" s="250">
        <f t="shared" ref="G58:H58" si="30">SUM(G52:G57)</f>
        <v>1937.377</v>
      </c>
      <c r="H58" s="254">
        <f t="shared" si="30"/>
        <v>9239.7980000000007</v>
      </c>
      <c r="I58" s="251">
        <f t="shared" ref="I58" si="31">SUM(I52:I57)</f>
        <v>5663.1019999999999</v>
      </c>
    </row>
    <row r="60" spans="1:9" ht="15" thickBot="1" x14ac:dyDescent="0.35"/>
    <row r="61" spans="1:9" x14ac:dyDescent="0.3">
      <c r="A61" s="295" t="s">
        <v>136</v>
      </c>
      <c r="B61" s="296"/>
      <c r="C61" s="296"/>
      <c r="D61" s="296"/>
      <c r="E61" s="296"/>
      <c r="F61" s="296"/>
      <c r="G61" s="296"/>
      <c r="H61" s="296"/>
      <c r="I61" s="297"/>
    </row>
    <row r="62" spans="1:9" x14ac:dyDescent="0.3">
      <c r="A62" s="298" t="s">
        <v>461</v>
      </c>
      <c r="B62" s="299"/>
      <c r="C62" s="299"/>
      <c r="D62" s="299"/>
      <c r="E62" s="299"/>
      <c r="F62" s="299"/>
      <c r="G62" s="299"/>
      <c r="H62" s="299"/>
      <c r="I62" s="300"/>
    </row>
    <row r="63" spans="1:9" x14ac:dyDescent="0.3">
      <c r="A63" s="298" t="s">
        <v>462</v>
      </c>
      <c r="B63" s="299"/>
      <c r="C63" s="299"/>
      <c r="D63" s="299"/>
      <c r="E63" s="299"/>
      <c r="F63" s="299"/>
      <c r="G63" s="299"/>
      <c r="H63" s="299"/>
      <c r="I63" s="300"/>
    </row>
    <row r="64" spans="1:9" x14ac:dyDescent="0.3">
      <c r="A64" s="298" t="s">
        <v>463</v>
      </c>
      <c r="B64" s="299"/>
      <c r="C64" s="299"/>
      <c r="D64" s="299"/>
      <c r="E64" s="299"/>
      <c r="F64" s="299"/>
      <c r="G64" s="299"/>
      <c r="H64" s="299"/>
      <c r="I64" s="300"/>
    </row>
    <row r="65" spans="1:9" x14ac:dyDescent="0.3">
      <c r="A65" s="148"/>
      <c r="B65" s="142"/>
      <c r="C65" s="142"/>
      <c r="D65" s="142"/>
      <c r="E65" s="142"/>
      <c r="F65" s="142"/>
      <c r="G65" s="142"/>
      <c r="H65" s="142"/>
      <c r="I65" s="245"/>
    </row>
    <row r="66" spans="1:9" ht="20.399999999999999" customHeight="1" x14ac:dyDescent="0.3">
      <c r="A66" s="148" t="s">
        <v>457</v>
      </c>
      <c r="B66" s="142"/>
      <c r="C66" s="142" t="s">
        <v>458</v>
      </c>
      <c r="D66" s="142"/>
      <c r="E66" s="142"/>
      <c r="F66" s="142" t="s">
        <v>459</v>
      </c>
      <c r="G66" s="142" t="s">
        <v>125</v>
      </c>
      <c r="H66" s="142"/>
      <c r="I66" s="245"/>
    </row>
    <row r="67" spans="1:9" x14ac:dyDescent="0.3">
      <c r="A67" s="148" t="s">
        <v>468</v>
      </c>
      <c r="B67" s="142"/>
      <c r="C67" s="142"/>
      <c r="D67" s="142"/>
      <c r="E67" s="142"/>
      <c r="F67" s="142" t="s">
        <v>460</v>
      </c>
      <c r="G67" s="142"/>
      <c r="H67" s="142"/>
      <c r="I67" s="245"/>
    </row>
    <row r="68" spans="1:9" x14ac:dyDescent="0.3">
      <c r="A68" s="148"/>
      <c r="B68" s="142"/>
      <c r="C68" s="142"/>
      <c r="D68" s="142"/>
      <c r="E68" s="142"/>
      <c r="F68" s="142"/>
      <c r="G68" s="142"/>
      <c r="H68" s="142"/>
      <c r="I68" s="245"/>
    </row>
    <row r="69" spans="1:9" ht="21.6" customHeight="1" x14ac:dyDescent="0.3">
      <c r="A69" s="301" t="s">
        <v>450</v>
      </c>
      <c r="B69" s="302" t="s">
        <v>455</v>
      </c>
      <c r="C69" s="303" t="s">
        <v>456</v>
      </c>
      <c r="D69" s="303" t="s">
        <v>31</v>
      </c>
      <c r="E69" s="242" t="s">
        <v>464</v>
      </c>
      <c r="F69" s="242" t="s">
        <v>465</v>
      </c>
      <c r="G69" s="242" t="s">
        <v>466</v>
      </c>
      <c r="H69" s="304" t="s">
        <v>471</v>
      </c>
      <c r="I69" s="246" t="s">
        <v>467</v>
      </c>
    </row>
    <row r="70" spans="1:9" s="239" customFormat="1" ht="28.95" customHeight="1" x14ac:dyDescent="0.3">
      <c r="A70" s="301"/>
      <c r="B70" s="302"/>
      <c r="C70" s="303"/>
      <c r="D70" s="303"/>
      <c r="E70" s="243">
        <v>0.4</v>
      </c>
      <c r="F70" s="243">
        <v>0.09</v>
      </c>
      <c r="G70" s="243">
        <v>0.13</v>
      </c>
      <c r="H70" s="305"/>
      <c r="I70" s="247">
        <v>0.38</v>
      </c>
    </row>
    <row r="71" spans="1:9" s="239" customFormat="1" ht="28.95" customHeight="1" x14ac:dyDescent="0.3">
      <c r="A71" s="248"/>
      <c r="B71" s="244" t="s">
        <v>113</v>
      </c>
      <c r="C71" s="244" t="s">
        <v>113</v>
      </c>
      <c r="D71" s="244" t="s">
        <v>113</v>
      </c>
      <c r="E71" s="244" t="s">
        <v>113</v>
      </c>
      <c r="F71" s="244" t="s">
        <v>113</v>
      </c>
      <c r="G71" s="244" t="s">
        <v>113</v>
      </c>
      <c r="H71" s="252" t="s">
        <v>113</v>
      </c>
      <c r="I71" s="249" t="s">
        <v>113</v>
      </c>
    </row>
    <row r="72" spans="1:9" x14ac:dyDescent="0.3">
      <c r="A72" s="105" t="s">
        <v>144</v>
      </c>
      <c r="B72" s="20">
        <f>'RECEIPTS AND PAYMENT ANANLYSIS'!E9</f>
        <v>5240</v>
      </c>
      <c r="C72" s="20">
        <f>'RECEIPTS AND PAYMENT ANANLYSIS'!E10</f>
        <v>0</v>
      </c>
      <c r="D72" s="20">
        <f>SUM(B72:C72)</f>
        <v>5240</v>
      </c>
      <c r="E72" s="9">
        <f>D72*$E$10</f>
        <v>2096</v>
      </c>
      <c r="F72" s="9">
        <f>D72*$F$10</f>
        <v>471.59999999999997</v>
      </c>
      <c r="G72" s="9">
        <f>D72*$G$10</f>
        <v>681.2</v>
      </c>
      <c r="H72" s="253">
        <f>SUM(E72:G72)</f>
        <v>3248.8</v>
      </c>
      <c r="I72" s="104">
        <f>D72*$I$10</f>
        <v>1991.2</v>
      </c>
    </row>
    <row r="73" spans="1:9" x14ac:dyDescent="0.3">
      <c r="A73" s="105" t="s">
        <v>141</v>
      </c>
      <c r="B73" s="20">
        <f>'RECEIPTS AND PAYMENT ANANLYSIS'!E8</f>
        <v>2965.6</v>
      </c>
      <c r="C73" s="10"/>
      <c r="D73" s="20">
        <f t="shared" ref="D73:D77" si="32">SUM(B73:C73)</f>
        <v>2965.6</v>
      </c>
      <c r="E73" s="9">
        <f t="shared" ref="E73:E77" si="33">D73*$E$10</f>
        <v>1186.24</v>
      </c>
      <c r="F73" s="9">
        <f t="shared" ref="F73:F77" si="34">D73*$F$10</f>
        <v>266.904</v>
      </c>
      <c r="G73" s="9">
        <f t="shared" ref="G73:G77" si="35">D73*$G$10</f>
        <v>385.52800000000002</v>
      </c>
      <c r="H73" s="253">
        <f t="shared" ref="H73:H77" si="36">SUM(E73:G73)</f>
        <v>1838.672</v>
      </c>
      <c r="I73" s="104">
        <f t="shared" ref="I73:I77" si="37">D73*$I$10</f>
        <v>1126.9279999999999</v>
      </c>
    </row>
    <row r="74" spans="1:9" x14ac:dyDescent="0.3">
      <c r="A74" s="105" t="s">
        <v>451</v>
      </c>
      <c r="B74" s="10"/>
      <c r="C74" s="10"/>
      <c r="D74" s="20">
        <f t="shared" si="32"/>
        <v>0</v>
      </c>
      <c r="E74" s="9">
        <f t="shared" si="33"/>
        <v>0</v>
      </c>
      <c r="F74" s="9">
        <f t="shared" si="34"/>
        <v>0</v>
      </c>
      <c r="G74" s="9">
        <f t="shared" si="35"/>
        <v>0</v>
      </c>
      <c r="H74" s="253">
        <f t="shared" si="36"/>
        <v>0</v>
      </c>
      <c r="I74" s="104">
        <f t="shared" si="37"/>
        <v>0</v>
      </c>
    </row>
    <row r="75" spans="1:9" x14ac:dyDescent="0.3">
      <c r="A75" s="105" t="s">
        <v>452</v>
      </c>
      <c r="B75" s="20">
        <f>'RECEIPTS AND PAYMENT ANANLYSIS'!E11</f>
        <v>100</v>
      </c>
      <c r="C75" s="10"/>
      <c r="D75" s="20">
        <f t="shared" si="32"/>
        <v>100</v>
      </c>
      <c r="E75" s="9">
        <f t="shared" si="33"/>
        <v>40</v>
      </c>
      <c r="F75" s="9">
        <f t="shared" si="34"/>
        <v>9</v>
      </c>
      <c r="G75" s="9">
        <f t="shared" si="35"/>
        <v>13</v>
      </c>
      <c r="H75" s="253">
        <f t="shared" si="36"/>
        <v>62</v>
      </c>
      <c r="I75" s="104">
        <f t="shared" si="37"/>
        <v>38</v>
      </c>
    </row>
    <row r="76" spans="1:9" x14ac:dyDescent="0.3">
      <c r="A76" s="105" t="s">
        <v>453</v>
      </c>
      <c r="B76" s="10"/>
      <c r="C76" s="10"/>
      <c r="D76" s="20">
        <f t="shared" si="32"/>
        <v>0</v>
      </c>
      <c r="E76" s="9">
        <f t="shared" si="33"/>
        <v>0</v>
      </c>
      <c r="F76" s="9">
        <f t="shared" si="34"/>
        <v>0</v>
      </c>
      <c r="G76" s="9">
        <f t="shared" si="35"/>
        <v>0</v>
      </c>
      <c r="H76" s="253">
        <f t="shared" si="36"/>
        <v>0</v>
      </c>
      <c r="I76" s="104">
        <f t="shared" si="37"/>
        <v>0</v>
      </c>
    </row>
    <row r="77" spans="1:9" x14ac:dyDescent="0.3">
      <c r="A77" s="105" t="s">
        <v>145</v>
      </c>
      <c r="B77" s="20">
        <f>'RECEIPTS AND PAYMENT ANANLYSIS'!E14</f>
        <v>432</v>
      </c>
      <c r="C77" s="10"/>
      <c r="D77" s="20">
        <f t="shared" si="32"/>
        <v>432</v>
      </c>
      <c r="E77" s="9">
        <f t="shared" si="33"/>
        <v>172.8</v>
      </c>
      <c r="F77" s="9">
        <f t="shared" si="34"/>
        <v>38.879999999999995</v>
      </c>
      <c r="G77" s="9">
        <f t="shared" si="35"/>
        <v>56.160000000000004</v>
      </c>
      <c r="H77" s="253">
        <f t="shared" si="36"/>
        <v>267.84000000000003</v>
      </c>
      <c r="I77" s="104">
        <f t="shared" si="37"/>
        <v>164.16</v>
      </c>
    </row>
    <row r="78" spans="1:9" ht="15" thickBot="1" x14ac:dyDescent="0.35">
      <c r="A78" s="151" t="s">
        <v>454</v>
      </c>
      <c r="B78" s="250">
        <f t="shared" ref="B78" si="38">SUM(B72:B77)</f>
        <v>8737.6</v>
      </c>
      <c r="C78" s="250">
        <f t="shared" ref="C78" si="39">SUM(C72:C77)</f>
        <v>0</v>
      </c>
      <c r="D78" s="250">
        <f>SUM(D72:D77)</f>
        <v>8737.6</v>
      </c>
      <c r="E78" s="250">
        <f t="shared" ref="E78" si="40">SUM(E72:E77)</f>
        <v>3495.04</v>
      </c>
      <c r="F78" s="250">
        <f t="shared" ref="F78" si="41">SUM(F72:F77)</f>
        <v>786.3839999999999</v>
      </c>
      <c r="G78" s="250">
        <f t="shared" ref="G78:H78" si="42">SUM(G72:G77)</f>
        <v>1135.8880000000001</v>
      </c>
      <c r="H78" s="254">
        <f t="shared" si="42"/>
        <v>5417.3119999999999</v>
      </c>
      <c r="I78" s="251">
        <f t="shared" ref="I78" si="43">SUM(I72:I77)</f>
        <v>3320.2879999999996</v>
      </c>
    </row>
    <row r="81" spans="1:9" ht="15" thickBot="1" x14ac:dyDescent="0.35"/>
    <row r="82" spans="1:9" x14ac:dyDescent="0.3">
      <c r="A82" s="295" t="s">
        <v>136</v>
      </c>
      <c r="B82" s="296"/>
      <c r="C82" s="296"/>
      <c r="D82" s="296"/>
      <c r="E82" s="296"/>
      <c r="F82" s="296"/>
      <c r="G82" s="296"/>
      <c r="H82" s="296"/>
      <c r="I82" s="297"/>
    </row>
    <row r="83" spans="1:9" x14ac:dyDescent="0.3">
      <c r="A83" s="298" t="s">
        <v>461</v>
      </c>
      <c r="B83" s="299"/>
      <c r="C83" s="299"/>
      <c r="D83" s="299"/>
      <c r="E83" s="299"/>
      <c r="F83" s="299"/>
      <c r="G83" s="299"/>
      <c r="H83" s="299"/>
      <c r="I83" s="300"/>
    </row>
    <row r="84" spans="1:9" x14ac:dyDescent="0.3">
      <c r="A84" s="298" t="s">
        <v>462</v>
      </c>
      <c r="B84" s="299"/>
      <c r="C84" s="299"/>
      <c r="D84" s="299"/>
      <c r="E84" s="299"/>
      <c r="F84" s="299"/>
      <c r="G84" s="299"/>
      <c r="H84" s="299"/>
      <c r="I84" s="300"/>
    </row>
    <row r="85" spans="1:9" x14ac:dyDescent="0.3">
      <c r="A85" s="298" t="s">
        <v>463</v>
      </c>
      <c r="B85" s="299"/>
      <c r="C85" s="299"/>
      <c r="D85" s="299"/>
      <c r="E85" s="299"/>
      <c r="F85" s="299"/>
      <c r="G85" s="299"/>
      <c r="H85" s="299"/>
      <c r="I85" s="300"/>
    </row>
    <row r="86" spans="1:9" x14ac:dyDescent="0.3">
      <c r="A86" s="148"/>
      <c r="B86" s="142"/>
      <c r="C86" s="142"/>
      <c r="D86" s="142"/>
      <c r="E86" s="142"/>
      <c r="F86" s="142"/>
      <c r="G86" s="142"/>
      <c r="H86" s="142"/>
      <c r="I86" s="245"/>
    </row>
    <row r="87" spans="1:9" ht="20.399999999999999" customHeight="1" x14ac:dyDescent="0.3">
      <c r="A87" s="148" t="s">
        <v>457</v>
      </c>
      <c r="B87" s="142"/>
      <c r="C87" s="142" t="s">
        <v>458</v>
      </c>
      <c r="D87" s="142"/>
      <c r="E87" s="142"/>
      <c r="F87" s="142" t="s">
        <v>459</v>
      </c>
      <c r="G87" s="142" t="s">
        <v>26</v>
      </c>
      <c r="H87" s="142"/>
      <c r="I87" s="245"/>
    </row>
    <row r="88" spans="1:9" x14ac:dyDescent="0.3">
      <c r="A88" s="148" t="s">
        <v>468</v>
      </c>
      <c r="B88" s="142"/>
      <c r="C88" s="142"/>
      <c r="D88" s="142"/>
      <c r="E88" s="142"/>
      <c r="F88" s="142" t="s">
        <v>460</v>
      </c>
      <c r="G88" s="142"/>
      <c r="H88" s="142"/>
      <c r="I88" s="245"/>
    </row>
    <row r="89" spans="1:9" x14ac:dyDescent="0.3">
      <c r="A89" s="148"/>
      <c r="B89" s="142"/>
      <c r="C89" s="142"/>
      <c r="D89" s="142"/>
      <c r="E89" s="142"/>
      <c r="F89" s="142"/>
      <c r="G89" s="142"/>
      <c r="H89" s="142"/>
      <c r="I89" s="245"/>
    </row>
    <row r="90" spans="1:9" ht="21.6" customHeight="1" x14ac:dyDescent="0.3">
      <c r="A90" s="301" t="s">
        <v>450</v>
      </c>
      <c r="B90" s="302" t="s">
        <v>455</v>
      </c>
      <c r="C90" s="303" t="s">
        <v>456</v>
      </c>
      <c r="D90" s="303" t="s">
        <v>31</v>
      </c>
      <c r="E90" s="242" t="s">
        <v>464</v>
      </c>
      <c r="F90" s="242" t="s">
        <v>465</v>
      </c>
      <c r="G90" s="242" t="s">
        <v>466</v>
      </c>
      <c r="H90" s="304" t="s">
        <v>471</v>
      </c>
      <c r="I90" s="246" t="s">
        <v>467</v>
      </c>
    </row>
    <row r="91" spans="1:9" s="239" customFormat="1" ht="28.95" customHeight="1" x14ac:dyDescent="0.3">
      <c r="A91" s="301"/>
      <c r="B91" s="302"/>
      <c r="C91" s="303"/>
      <c r="D91" s="303"/>
      <c r="E91" s="243">
        <v>0.4</v>
      </c>
      <c r="F91" s="243">
        <v>0.09</v>
      </c>
      <c r="G91" s="243">
        <v>0.13</v>
      </c>
      <c r="H91" s="305"/>
      <c r="I91" s="247">
        <v>0.38</v>
      </c>
    </row>
    <row r="92" spans="1:9" s="239" customFormat="1" ht="28.95" customHeight="1" x14ac:dyDescent="0.3">
      <c r="A92" s="248"/>
      <c r="B92" s="244" t="s">
        <v>113</v>
      </c>
      <c r="C92" s="244" t="s">
        <v>113</v>
      </c>
      <c r="D92" s="244" t="s">
        <v>113</v>
      </c>
      <c r="E92" s="244" t="s">
        <v>113</v>
      </c>
      <c r="F92" s="244" t="s">
        <v>113</v>
      </c>
      <c r="G92" s="244" t="s">
        <v>113</v>
      </c>
      <c r="H92" s="252" t="s">
        <v>113</v>
      </c>
      <c r="I92" s="249" t="s">
        <v>113</v>
      </c>
    </row>
    <row r="93" spans="1:9" x14ac:dyDescent="0.3">
      <c r="A93" s="105" t="s">
        <v>144</v>
      </c>
      <c r="B93" s="20">
        <f>'RECEIPTS AND PAYMENT ANANLYSIS'!F9</f>
        <v>7405</v>
      </c>
      <c r="C93" s="20">
        <f>'RECEIPTS AND PAYMENT ANANLYSIS'!F10</f>
        <v>0</v>
      </c>
      <c r="D93" s="20">
        <f>SUM(B93:C93)</f>
        <v>7405</v>
      </c>
      <c r="E93" s="9">
        <f>D93*$E$10</f>
        <v>2962</v>
      </c>
      <c r="F93" s="9">
        <f>D93*$F$10</f>
        <v>666.44999999999993</v>
      </c>
      <c r="G93" s="9">
        <f>D93*$G$10</f>
        <v>962.65</v>
      </c>
      <c r="H93" s="253">
        <f>SUM(E93:G93)</f>
        <v>4591.0999999999995</v>
      </c>
      <c r="I93" s="104">
        <f>D93*$I$10</f>
        <v>2813.9</v>
      </c>
    </row>
    <row r="94" spans="1:9" x14ac:dyDescent="0.3">
      <c r="A94" s="105" t="s">
        <v>141</v>
      </c>
      <c r="B94" s="20">
        <f>'RECEIPTS AND PAYMENT ANANLYSIS'!F8</f>
        <v>2499.3000000000002</v>
      </c>
      <c r="C94" s="10"/>
      <c r="D94" s="20">
        <f t="shared" ref="D94:D98" si="44">SUM(B94:C94)</f>
        <v>2499.3000000000002</v>
      </c>
      <c r="E94" s="9">
        <f t="shared" ref="E94:E98" si="45">D94*$E$10</f>
        <v>999.72000000000014</v>
      </c>
      <c r="F94" s="9">
        <f t="shared" ref="F94:F98" si="46">D94*$F$10</f>
        <v>224.93700000000001</v>
      </c>
      <c r="G94" s="9">
        <f t="shared" ref="G94:G98" si="47">D94*$G$10</f>
        <v>324.90900000000005</v>
      </c>
      <c r="H94" s="253">
        <f t="shared" ref="H94:H98" si="48">SUM(E94:G94)</f>
        <v>1549.5660000000003</v>
      </c>
      <c r="I94" s="104">
        <f t="shared" ref="I94:I98" si="49">D94*$I$10</f>
        <v>949.73400000000004</v>
      </c>
    </row>
    <row r="95" spans="1:9" x14ac:dyDescent="0.3">
      <c r="A95" s="105" t="s">
        <v>451</v>
      </c>
      <c r="B95" s="10"/>
      <c r="C95" s="10"/>
      <c r="D95" s="20">
        <f t="shared" si="44"/>
        <v>0</v>
      </c>
      <c r="E95" s="9">
        <f t="shared" si="45"/>
        <v>0</v>
      </c>
      <c r="F95" s="9">
        <f t="shared" si="46"/>
        <v>0</v>
      </c>
      <c r="G95" s="9">
        <f t="shared" si="47"/>
        <v>0</v>
      </c>
      <c r="H95" s="253">
        <f t="shared" si="48"/>
        <v>0</v>
      </c>
      <c r="I95" s="104">
        <f t="shared" si="49"/>
        <v>0</v>
      </c>
    </row>
    <row r="96" spans="1:9" x14ac:dyDescent="0.3">
      <c r="A96" s="105" t="s">
        <v>452</v>
      </c>
      <c r="B96" s="20">
        <f>'RECEIPTS AND PAYMENT ANANLYSIS'!F11</f>
        <v>250</v>
      </c>
      <c r="C96" s="10"/>
      <c r="D96" s="20">
        <f t="shared" si="44"/>
        <v>250</v>
      </c>
      <c r="E96" s="9">
        <f t="shared" si="45"/>
        <v>100</v>
      </c>
      <c r="F96" s="9">
        <f t="shared" si="46"/>
        <v>22.5</v>
      </c>
      <c r="G96" s="9">
        <f t="shared" si="47"/>
        <v>32.5</v>
      </c>
      <c r="H96" s="253">
        <f t="shared" si="48"/>
        <v>155</v>
      </c>
      <c r="I96" s="104">
        <f t="shared" si="49"/>
        <v>95</v>
      </c>
    </row>
    <row r="97" spans="1:9" x14ac:dyDescent="0.3">
      <c r="A97" s="105" t="s">
        <v>453</v>
      </c>
      <c r="B97" s="10"/>
      <c r="C97" s="10"/>
      <c r="D97" s="20">
        <f t="shared" si="44"/>
        <v>0</v>
      </c>
      <c r="E97" s="9">
        <f t="shared" si="45"/>
        <v>0</v>
      </c>
      <c r="F97" s="9">
        <f t="shared" si="46"/>
        <v>0</v>
      </c>
      <c r="G97" s="9">
        <f t="shared" si="47"/>
        <v>0</v>
      </c>
      <c r="H97" s="253">
        <f t="shared" si="48"/>
        <v>0</v>
      </c>
      <c r="I97" s="104">
        <f t="shared" si="49"/>
        <v>0</v>
      </c>
    </row>
    <row r="98" spans="1:9" x14ac:dyDescent="0.3">
      <c r="A98" s="105" t="s">
        <v>145</v>
      </c>
      <c r="B98" s="20">
        <f>'RECEIPTS AND PAYMENT ANANLYSIS'!F14</f>
        <v>0</v>
      </c>
      <c r="C98" s="10"/>
      <c r="D98" s="20">
        <f t="shared" si="44"/>
        <v>0</v>
      </c>
      <c r="E98" s="9">
        <f t="shared" si="45"/>
        <v>0</v>
      </c>
      <c r="F98" s="9">
        <f t="shared" si="46"/>
        <v>0</v>
      </c>
      <c r="G98" s="9">
        <f t="shared" si="47"/>
        <v>0</v>
      </c>
      <c r="H98" s="253">
        <f t="shared" si="48"/>
        <v>0</v>
      </c>
      <c r="I98" s="104">
        <f t="shared" si="49"/>
        <v>0</v>
      </c>
    </row>
    <row r="99" spans="1:9" ht="15" thickBot="1" x14ac:dyDescent="0.35">
      <c r="A99" s="151" t="s">
        <v>454</v>
      </c>
      <c r="B99" s="250">
        <f t="shared" ref="B99" si="50">SUM(B93:B98)</f>
        <v>10154.299999999999</v>
      </c>
      <c r="C99" s="250">
        <f t="shared" ref="C99" si="51">SUM(C93:C98)</f>
        <v>0</v>
      </c>
      <c r="D99" s="250">
        <f>SUM(D93:D98)</f>
        <v>10154.299999999999</v>
      </c>
      <c r="E99" s="250">
        <f t="shared" ref="E99" si="52">SUM(E93:E98)</f>
        <v>4061.7200000000003</v>
      </c>
      <c r="F99" s="250">
        <f t="shared" ref="F99" si="53">SUM(F93:F98)</f>
        <v>913.88699999999994</v>
      </c>
      <c r="G99" s="250">
        <f t="shared" ref="G99:H99" si="54">SUM(G93:G98)</f>
        <v>1320.059</v>
      </c>
      <c r="H99" s="254">
        <f t="shared" si="54"/>
        <v>6295.6659999999993</v>
      </c>
      <c r="I99" s="251">
        <f t="shared" ref="I99" si="55">SUM(I93:I98)</f>
        <v>3858.634</v>
      </c>
    </row>
    <row r="101" spans="1:9" ht="15" thickBot="1" x14ac:dyDescent="0.35"/>
    <row r="102" spans="1:9" x14ac:dyDescent="0.3">
      <c r="A102" s="295" t="s">
        <v>136</v>
      </c>
      <c r="B102" s="296"/>
      <c r="C102" s="296"/>
      <c r="D102" s="296"/>
      <c r="E102" s="296"/>
      <c r="F102" s="296"/>
      <c r="G102" s="296"/>
      <c r="H102" s="296"/>
      <c r="I102" s="297"/>
    </row>
    <row r="103" spans="1:9" x14ac:dyDescent="0.3">
      <c r="A103" s="298" t="s">
        <v>461</v>
      </c>
      <c r="B103" s="299"/>
      <c r="C103" s="299"/>
      <c r="D103" s="299"/>
      <c r="E103" s="299"/>
      <c r="F103" s="299"/>
      <c r="G103" s="299"/>
      <c r="H103" s="299"/>
      <c r="I103" s="300"/>
    </row>
    <row r="104" spans="1:9" x14ac:dyDescent="0.3">
      <c r="A104" s="298" t="s">
        <v>462</v>
      </c>
      <c r="B104" s="299"/>
      <c r="C104" s="299"/>
      <c r="D104" s="299"/>
      <c r="E104" s="299"/>
      <c r="F104" s="299"/>
      <c r="G104" s="299"/>
      <c r="H104" s="299"/>
      <c r="I104" s="300"/>
    </row>
    <row r="105" spans="1:9" x14ac:dyDescent="0.3">
      <c r="A105" s="298" t="s">
        <v>463</v>
      </c>
      <c r="B105" s="299"/>
      <c r="C105" s="299"/>
      <c r="D105" s="299"/>
      <c r="E105" s="299"/>
      <c r="F105" s="299"/>
      <c r="G105" s="299"/>
      <c r="H105" s="299"/>
      <c r="I105" s="300"/>
    </row>
    <row r="106" spans="1:9" x14ac:dyDescent="0.3">
      <c r="A106" s="148"/>
      <c r="B106" s="142"/>
      <c r="C106" s="142"/>
      <c r="D106" s="142"/>
      <c r="E106" s="142"/>
      <c r="F106" s="142"/>
      <c r="G106" s="142"/>
      <c r="H106" s="142"/>
      <c r="I106" s="245"/>
    </row>
    <row r="107" spans="1:9" ht="20.399999999999999" customHeight="1" x14ac:dyDescent="0.3">
      <c r="A107" s="148" t="s">
        <v>457</v>
      </c>
      <c r="B107" s="142"/>
      <c r="C107" s="142" t="s">
        <v>458</v>
      </c>
      <c r="D107" s="142"/>
      <c r="E107" s="142"/>
      <c r="F107" s="142" t="s">
        <v>459</v>
      </c>
      <c r="G107" s="142" t="s">
        <v>27</v>
      </c>
      <c r="H107" s="142"/>
      <c r="I107" s="245"/>
    </row>
    <row r="108" spans="1:9" x14ac:dyDescent="0.3">
      <c r="A108" s="148" t="s">
        <v>468</v>
      </c>
      <c r="B108" s="142"/>
      <c r="C108" s="142"/>
      <c r="D108" s="142"/>
      <c r="E108" s="142"/>
      <c r="F108" s="142" t="s">
        <v>460</v>
      </c>
      <c r="G108" s="142"/>
      <c r="H108" s="142"/>
      <c r="I108" s="245"/>
    </row>
    <row r="109" spans="1:9" x14ac:dyDescent="0.3">
      <c r="A109" s="148"/>
      <c r="B109" s="142"/>
      <c r="C109" s="142"/>
      <c r="D109" s="142"/>
      <c r="E109" s="142"/>
      <c r="F109" s="142"/>
      <c r="G109" s="142"/>
      <c r="H109" s="142"/>
      <c r="I109" s="245"/>
    </row>
    <row r="110" spans="1:9" ht="21.6" customHeight="1" x14ac:dyDescent="0.3">
      <c r="A110" s="301" t="s">
        <v>450</v>
      </c>
      <c r="B110" s="302" t="s">
        <v>455</v>
      </c>
      <c r="C110" s="303" t="s">
        <v>456</v>
      </c>
      <c r="D110" s="303" t="s">
        <v>31</v>
      </c>
      <c r="E110" s="242" t="s">
        <v>464</v>
      </c>
      <c r="F110" s="242" t="s">
        <v>465</v>
      </c>
      <c r="G110" s="242" t="s">
        <v>466</v>
      </c>
      <c r="H110" s="304" t="s">
        <v>471</v>
      </c>
      <c r="I110" s="246" t="s">
        <v>467</v>
      </c>
    </row>
    <row r="111" spans="1:9" s="239" customFormat="1" ht="28.95" customHeight="1" x14ac:dyDescent="0.3">
      <c r="A111" s="301"/>
      <c r="B111" s="302"/>
      <c r="C111" s="303"/>
      <c r="D111" s="303"/>
      <c r="E111" s="243">
        <v>0.4</v>
      </c>
      <c r="F111" s="243">
        <v>0.09</v>
      </c>
      <c r="G111" s="243">
        <v>0.13</v>
      </c>
      <c r="H111" s="305"/>
      <c r="I111" s="247">
        <v>0.38</v>
      </c>
    </row>
    <row r="112" spans="1:9" s="239" customFormat="1" ht="28.95" customHeight="1" x14ac:dyDescent="0.3">
      <c r="A112" s="248"/>
      <c r="B112" s="244" t="s">
        <v>113</v>
      </c>
      <c r="C112" s="244" t="s">
        <v>113</v>
      </c>
      <c r="D112" s="244" t="s">
        <v>113</v>
      </c>
      <c r="E112" s="244" t="s">
        <v>113</v>
      </c>
      <c r="F112" s="244" t="s">
        <v>113</v>
      </c>
      <c r="G112" s="244" t="s">
        <v>113</v>
      </c>
      <c r="H112" s="252" t="s">
        <v>113</v>
      </c>
      <c r="I112" s="249" t="s">
        <v>113</v>
      </c>
    </row>
    <row r="113" spans="1:9" x14ac:dyDescent="0.3">
      <c r="A113" s="105" t="s">
        <v>144</v>
      </c>
      <c r="B113" s="20">
        <f>'RECEIPTS AND PAYMENT ANANLYSIS'!G9</f>
        <v>9338</v>
      </c>
      <c r="C113" s="20">
        <f>'RECEIPTS AND PAYMENT ANANLYSIS'!G10</f>
        <v>0</v>
      </c>
      <c r="D113" s="20">
        <f>SUM(B113:C113)</f>
        <v>9338</v>
      </c>
      <c r="E113" s="9">
        <f>D113*$E$10</f>
        <v>3735.2000000000003</v>
      </c>
      <c r="F113" s="9">
        <f>D113*$F$10</f>
        <v>840.42</v>
      </c>
      <c r="G113" s="9">
        <f>D113*$G$10</f>
        <v>1213.94</v>
      </c>
      <c r="H113" s="253">
        <f>SUM(E113:G113)</f>
        <v>5789.5599999999995</v>
      </c>
      <c r="I113" s="104">
        <f>D113*$I$10</f>
        <v>3548.44</v>
      </c>
    </row>
    <row r="114" spans="1:9" x14ac:dyDescent="0.3">
      <c r="A114" s="105" t="s">
        <v>141</v>
      </c>
      <c r="B114" s="20">
        <f>'RECEIPTS AND PAYMENT ANANLYSIS'!G8</f>
        <v>3969.5</v>
      </c>
      <c r="C114" s="10"/>
      <c r="D114" s="20">
        <f t="shared" ref="D114:D118" si="56">SUM(B114:C114)</f>
        <v>3969.5</v>
      </c>
      <c r="E114" s="9">
        <f t="shared" ref="E114:E118" si="57">D114*$E$10</f>
        <v>1587.8000000000002</v>
      </c>
      <c r="F114" s="9">
        <f t="shared" ref="F114:F118" si="58">D114*$F$10</f>
        <v>357.255</v>
      </c>
      <c r="G114" s="9">
        <f t="shared" ref="G114:G118" si="59">D114*$G$10</f>
        <v>516.03499999999997</v>
      </c>
      <c r="H114" s="253">
        <f t="shared" ref="H114:H118" si="60">SUM(E114:G114)</f>
        <v>2461.09</v>
      </c>
      <c r="I114" s="104">
        <f t="shared" ref="I114:I118" si="61">D114*$I$10</f>
        <v>1508.41</v>
      </c>
    </row>
    <row r="115" spans="1:9" x14ac:dyDescent="0.3">
      <c r="A115" s="105" t="s">
        <v>451</v>
      </c>
      <c r="B115" s="10"/>
      <c r="C115" s="10"/>
      <c r="D115" s="20">
        <f t="shared" si="56"/>
        <v>0</v>
      </c>
      <c r="E115" s="9">
        <f t="shared" si="57"/>
        <v>0</v>
      </c>
      <c r="F115" s="9">
        <f t="shared" si="58"/>
        <v>0</v>
      </c>
      <c r="G115" s="9">
        <f t="shared" si="59"/>
        <v>0</v>
      </c>
      <c r="H115" s="253">
        <f t="shared" si="60"/>
        <v>0</v>
      </c>
      <c r="I115" s="104">
        <f t="shared" si="61"/>
        <v>0</v>
      </c>
    </row>
    <row r="116" spans="1:9" x14ac:dyDescent="0.3">
      <c r="A116" s="105" t="s">
        <v>452</v>
      </c>
      <c r="B116" s="20">
        <f>'RECEIPTS AND PAYMENT ANANLYSIS'!G11</f>
        <v>0</v>
      </c>
      <c r="C116" s="10"/>
      <c r="D116" s="20">
        <f t="shared" si="56"/>
        <v>0</v>
      </c>
      <c r="E116" s="9">
        <f t="shared" si="57"/>
        <v>0</v>
      </c>
      <c r="F116" s="9">
        <f t="shared" si="58"/>
        <v>0</v>
      </c>
      <c r="G116" s="9">
        <f t="shared" si="59"/>
        <v>0</v>
      </c>
      <c r="H116" s="253">
        <f t="shared" si="60"/>
        <v>0</v>
      </c>
      <c r="I116" s="104">
        <f t="shared" si="61"/>
        <v>0</v>
      </c>
    </row>
    <row r="117" spans="1:9" x14ac:dyDescent="0.3">
      <c r="A117" s="105" t="s">
        <v>453</v>
      </c>
      <c r="B117" s="10"/>
      <c r="C117" s="10"/>
      <c r="D117" s="20">
        <f t="shared" si="56"/>
        <v>0</v>
      </c>
      <c r="E117" s="9">
        <f t="shared" si="57"/>
        <v>0</v>
      </c>
      <c r="F117" s="9">
        <f t="shared" si="58"/>
        <v>0</v>
      </c>
      <c r="G117" s="9">
        <f t="shared" si="59"/>
        <v>0</v>
      </c>
      <c r="H117" s="253">
        <f t="shared" si="60"/>
        <v>0</v>
      </c>
      <c r="I117" s="104">
        <f t="shared" si="61"/>
        <v>0</v>
      </c>
    </row>
    <row r="118" spans="1:9" x14ac:dyDescent="0.3">
      <c r="A118" s="105" t="s">
        <v>145</v>
      </c>
      <c r="B118" s="20">
        <f>'RECEIPTS AND PAYMENT ANANLYSIS'!G14</f>
        <v>0</v>
      </c>
      <c r="C118" s="10"/>
      <c r="D118" s="20">
        <f t="shared" si="56"/>
        <v>0</v>
      </c>
      <c r="E118" s="9">
        <f t="shared" si="57"/>
        <v>0</v>
      </c>
      <c r="F118" s="9">
        <f t="shared" si="58"/>
        <v>0</v>
      </c>
      <c r="G118" s="9">
        <f t="shared" si="59"/>
        <v>0</v>
      </c>
      <c r="H118" s="253">
        <f t="shared" si="60"/>
        <v>0</v>
      </c>
      <c r="I118" s="104">
        <f t="shared" si="61"/>
        <v>0</v>
      </c>
    </row>
    <row r="119" spans="1:9" ht="15" thickBot="1" x14ac:dyDescent="0.35">
      <c r="A119" s="151" t="s">
        <v>454</v>
      </c>
      <c r="B119" s="250">
        <f t="shared" ref="B119" si="62">SUM(B113:B118)</f>
        <v>13307.5</v>
      </c>
      <c r="C119" s="250">
        <f t="shared" ref="C119" si="63">SUM(C113:C118)</f>
        <v>0</v>
      </c>
      <c r="D119" s="250">
        <f>SUM(D113:D118)</f>
        <v>13307.5</v>
      </c>
      <c r="E119" s="250">
        <f t="shared" ref="E119" si="64">SUM(E113:E118)</f>
        <v>5323</v>
      </c>
      <c r="F119" s="250">
        <f t="shared" ref="F119" si="65">SUM(F113:F118)</f>
        <v>1197.675</v>
      </c>
      <c r="G119" s="250">
        <f t="shared" ref="G119:H119" si="66">SUM(G113:G118)</f>
        <v>1729.9749999999999</v>
      </c>
      <c r="H119" s="254">
        <f t="shared" si="66"/>
        <v>8250.65</v>
      </c>
      <c r="I119" s="251">
        <f t="shared" ref="I119" si="67">SUM(I113:I118)</f>
        <v>5056.8500000000004</v>
      </c>
    </row>
    <row r="122" spans="1:9" ht="15" thickBot="1" x14ac:dyDescent="0.35"/>
    <row r="123" spans="1:9" x14ac:dyDescent="0.3">
      <c r="A123" s="295" t="s">
        <v>136</v>
      </c>
      <c r="B123" s="296"/>
      <c r="C123" s="296"/>
      <c r="D123" s="296"/>
      <c r="E123" s="296"/>
      <c r="F123" s="296"/>
      <c r="G123" s="296"/>
      <c r="H123" s="296"/>
      <c r="I123" s="297"/>
    </row>
    <row r="124" spans="1:9" x14ac:dyDescent="0.3">
      <c r="A124" s="298" t="s">
        <v>461</v>
      </c>
      <c r="B124" s="299"/>
      <c r="C124" s="299"/>
      <c r="D124" s="299"/>
      <c r="E124" s="299"/>
      <c r="F124" s="299"/>
      <c r="G124" s="299"/>
      <c r="H124" s="299"/>
      <c r="I124" s="300"/>
    </row>
    <row r="125" spans="1:9" x14ac:dyDescent="0.3">
      <c r="A125" s="298" t="s">
        <v>462</v>
      </c>
      <c r="B125" s="299"/>
      <c r="C125" s="299"/>
      <c r="D125" s="299"/>
      <c r="E125" s="299"/>
      <c r="F125" s="299"/>
      <c r="G125" s="299"/>
      <c r="H125" s="299"/>
      <c r="I125" s="300"/>
    </row>
    <row r="126" spans="1:9" x14ac:dyDescent="0.3">
      <c r="A126" s="298" t="s">
        <v>463</v>
      </c>
      <c r="B126" s="299"/>
      <c r="C126" s="299"/>
      <c r="D126" s="299"/>
      <c r="E126" s="299"/>
      <c r="F126" s="299"/>
      <c r="G126" s="299"/>
      <c r="H126" s="299"/>
      <c r="I126" s="300"/>
    </row>
    <row r="127" spans="1:9" x14ac:dyDescent="0.3">
      <c r="A127" s="148"/>
      <c r="B127" s="142"/>
      <c r="C127" s="142"/>
      <c r="D127" s="142"/>
      <c r="E127" s="142"/>
      <c r="F127" s="142"/>
      <c r="G127" s="142"/>
      <c r="H127" s="142"/>
      <c r="I127" s="245"/>
    </row>
    <row r="128" spans="1:9" ht="20.399999999999999" customHeight="1" x14ac:dyDescent="0.3">
      <c r="A128" s="148" t="s">
        <v>457</v>
      </c>
      <c r="B128" s="142"/>
      <c r="C128" s="142" t="s">
        <v>458</v>
      </c>
      <c r="D128" s="142"/>
      <c r="E128" s="142"/>
      <c r="F128" s="142" t="s">
        <v>459</v>
      </c>
      <c r="G128" s="142" t="s">
        <v>28</v>
      </c>
      <c r="H128" s="142"/>
      <c r="I128" s="245"/>
    </row>
    <row r="129" spans="1:9" x14ac:dyDescent="0.3">
      <c r="A129" s="148" t="s">
        <v>468</v>
      </c>
      <c r="B129" s="142"/>
      <c r="C129" s="142"/>
      <c r="D129" s="142"/>
      <c r="E129" s="142"/>
      <c r="F129" s="142" t="s">
        <v>460</v>
      </c>
      <c r="G129" s="142"/>
      <c r="H129" s="142"/>
      <c r="I129" s="245"/>
    </row>
    <row r="130" spans="1:9" x14ac:dyDescent="0.3">
      <c r="A130" s="148"/>
      <c r="B130" s="142"/>
      <c r="C130" s="142"/>
      <c r="D130" s="142"/>
      <c r="E130" s="142"/>
      <c r="F130" s="142"/>
      <c r="G130" s="142"/>
      <c r="H130" s="142"/>
      <c r="I130" s="245"/>
    </row>
    <row r="131" spans="1:9" ht="21.6" customHeight="1" x14ac:dyDescent="0.3">
      <c r="A131" s="301" t="s">
        <v>450</v>
      </c>
      <c r="B131" s="302" t="s">
        <v>455</v>
      </c>
      <c r="C131" s="303" t="s">
        <v>456</v>
      </c>
      <c r="D131" s="303" t="s">
        <v>31</v>
      </c>
      <c r="E131" s="242" t="s">
        <v>464</v>
      </c>
      <c r="F131" s="242" t="s">
        <v>465</v>
      </c>
      <c r="G131" s="242" t="s">
        <v>466</v>
      </c>
      <c r="H131" s="304" t="s">
        <v>471</v>
      </c>
      <c r="I131" s="246" t="s">
        <v>467</v>
      </c>
    </row>
    <row r="132" spans="1:9" s="239" customFormat="1" ht="28.95" customHeight="1" x14ac:dyDescent="0.3">
      <c r="A132" s="301"/>
      <c r="B132" s="302"/>
      <c r="C132" s="303"/>
      <c r="D132" s="303"/>
      <c r="E132" s="243">
        <v>0.4</v>
      </c>
      <c r="F132" s="243">
        <v>0.09</v>
      </c>
      <c r="G132" s="243">
        <v>0.13</v>
      </c>
      <c r="H132" s="305"/>
      <c r="I132" s="247">
        <v>0.38</v>
      </c>
    </row>
    <row r="133" spans="1:9" s="239" customFormat="1" ht="28.95" customHeight="1" x14ac:dyDescent="0.3">
      <c r="A133" s="248"/>
      <c r="B133" s="244" t="s">
        <v>113</v>
      </c>
      <c r="C133" s="244" t="s">
        <v>113</v>
      </c>
      <c r="D133" s="244" t="s">
        <v>113</v>
      </c>
      <c r="E133" s="244" t="s">
        <v>113</v>
      </c>
      <c r="F133" s="244" t="s">
        <v>113</v>
      </c>
      <c r="G133" s="244" t="s">
        <v>113</v>
      </c>
      <c r="H133" s="252" t="s">
        <v>113</v>
      </c>
      <c r="I133" s="249" t="s">
        <v>113</v>
      </c>
    </row>
    <row r="134" spans="1:9" x14ac:dyDescent="0.3">
      <c r="A134" s="105" t="s">
        <v>144</v>
      </c>
      <c r="B134" s="20">
        <f>'RECEIPTS AND PAYMENT ANANLYSIS'!H9</f>
        <v>7218</v>
      </c>
      <c r="C134" s="20">
        <f>'RECEIPTS AND PAYMENT ANANLYSIS'!H10</f>
        <v>55</v>
      </c>
      <c r="D134" s="20">
        <f>SUM(B134:C134)</f>
        <v>7273</v>
      </c>
      <c r="E134" s="9">
        <f>D134*$E$10</f>
        <v>2909.2000000000003</v>
      </c>
      <c r="F134" s="9">
        <f>D134*$F$10</f>
        <v>654.56999999999994</v>
      </c>
      <c r="G134" s="9">
        <f>D134*$G$10</f>
        <v>945.49</v>
      </c>
      <c r="H134" s="253">
        <f>SUM(E134:G134)</f>
        <v>4509.26</v>
      </c>
      <c r="I134" s="104">
        <f>D134*$I$10</f>
        <v>2763.7400000000002</v>
      </c>
    </row>
    <row r="135" spans="1:9" x14ac:dyDescent="0.3">
      <c r="A135" s="105" t="s">
        <v>141</v>
      </c>
      <c r="B135" s="20">
        <f>'RECEIPTS AND PAYMENT ANANLYSIS'!H8</f>
        <v>2818.3</v>
      </c>
      <c r="C135" s="10"/>
      <c r="D135" s="20">
        <f t="shared" ref="D135:D139" si="68">SUM(B135:C135)</f>
        <v>2818.3</v>
      </c>
      <c r="E135" s="9">
        <f t="shared" ref="E135:E139" si="69">D135*$E$10</f>
        <v>1127.3200000000002</v>
      </c>
      <c r="F135" s="9">
        <f t="shared" ref="F135:F139" si="70">D135*$F$10</f>
        <v>253.64700000000002</v>
      </c>
      <c r="G135" s="9">
        <f t="shared" ref="G135:G139" si="71">D135*$G$10</f>
        <v>366.37900000000002</v>
      </c>
      <c r="H135" s="253">
        <f t="shared" ref="H135:H139" si="72">SUM(E135:G135)</f>
        <v>1747.346</v>
      </c>
      <c r="I135" s="104">
        <f t="shared" ref="I135:I139" si="73">D135*$I$10</f>
        <v>1070.9540000000002</v>
      </c>
    </row>
    <row r="136" spans="1:9" x14ac:dyDescent="0.3">
      <c r="A136" s="105" t="s">
        <v>451</v>
      </c>
      <c r="B136" s="10"/>
      <c r="C136" s="10"/>
      <c r="D136" s="20">
        <f t="shared" si="68"/>
        <v>0</v>
      </c>
      <c r="E136" s="9">
        <f t="shared" si="69"/>
        <v>0</v>
      </c>
      <c r="F136" s="9">
        <f t="shared" si="70"/>
        <v>0</v>
      </c>
      <c r="G136" s="9">
        <f t="shared" si="71"/>
        <v>0</v>
      </c>
      <c r="H136" s="253">
        <f t="shared" si="72"/>
        <v>0</v>
      </c>
      <c r="I136" s="104">
        <f t="shared" si="73"/>
        <v>0</v>
      </c>
    </row>
    <row r="137" spans="1:9" x14ac:dyDescent="0.3">
      <c r="A137" s="105" t="s">
        <v>452</v>
      </c>
      <c r="B137" s="20">
        <f>'RECEIPTS AND PAYMENT ANANLYSIS'!H11</f>
        <v>310</v>
      </c>
      <c r="C137" s="10"/>
      <c r="D137" s="20">
        <f t="shared" si="68"/>
        <v>310</v>
      </c>
      <c r="E137" s="9">
        <f t="shared" si="69"/>
        <v>124</v>
      </c>
      <c r="F137" s="9">
        <f t="shared" si="70"/>
        <v>27.9</v>
      </c>
      <c r="G137" s="9">
        <f t="shared" si="71"/>
        <v>40.300000000000004</v>
      </c>
      <c r="H137" s="253">
        <f t="shared" si="72"/>
        <v>192.20000000000002</v>
      </c>
      <c r="I137" s="104">
        <f t="shared" si="73"/>
        <v>117.8</v>
      </c>
    </row>
    <row r="138" spans="1:9" x14ac:dyDescent="0.3">
      <c r="A138" s="105" t="s">
        <v>453</v>
      </c>
      <c r="B138" s="10"/>
      <c r="C138" s="10"/>
      <c r="D138" s="20">
        <f t="shared" si="68"/>
        <v>0</v>
      </c>
      <c r="E138" s="9">
        <f t="shared" si="69"/>
        <v>0</v>
      </c>
      <c r="F138" s="9">
        <f t="shared" si="70"/>
        <v>0</v>
      </c>
      <c r="G138" s="9">
        <f t="shared" si="71"/>
        <v>0</v>
      </c>
      <c r="H138" s="253">
        <f t="shared" si="72"/>
        <v>0</v>
      </c>
      <c r="I138" s="104">
        <f t="shared" si="73"/>
        <v>0</v>
      </c>
    </row>
    <row r="139" spans="1:9" x14ac:dyDescent="0.3">
      <c r="A139" s="105" t="s">
        <v>145</v>
      </c>
      <c r="B139" s="20">
        <f>'RECEIPTS AND PAYMENT ANANLYSIS'!H14</f>
        <v>190</v>
      </c>
      <c r="C139" s="10"/>
      <c r="D139" s="20">
        <f t="shared" si="68"/>
        <v>190</v>
      </c>
      <c r="E139" s="9">
        <f t="shared" si="69"/>
        <v>76</v>
      </c>
      <c r="F139" s="9">
        <f t="shared" si="70"/>
        <v>17.099999999999998</v>
      </c>
      <c r="G139" s="9">
        <f t="shared" si="71"/>
        <v>24.7</v>
      </c>
      <c r="H139" s="253">
        <f t="shared" si="72"/>
        <v>117.8</v>
      </c>
      <c r="I139" s="104">
        <f t="shared" si="73"/>
        <v>72.2</v>
      </c>
    </row>
    <row r="140" spans="1:9" ht="15" thickBot="1" x14ac:dyDescent="0.35">
      <c r="A140" s="151" t="s">
        <v>454</v>
      </c>
      <c r="B140" s="250">
        <f t="shared" ref="B140" si="74">SUM(B134:B139)</f>
        <v>10536.3</v>
      </c>
      <c r="C140" s="250">
        <f t="shared" ref="C140" si="75">SUM(C134:C139)</f>
        <v>55</v>
      </c>
      <c r="D140" s="250">
        <f>SUM(D134:D139)</f>
        <v>10591.3</v>
      </c>
      <c r="E140" s="250">
        <f t="shared" ref="E140" si="76">SUM(E134:E139)</f>
        <v>4236.5200000000004</v>
      </c>
      <c r="F140" s="250">
        <f t="shared" ref="F140" si="77">SUM(F134:F139)</f>
        <v>953.21699999999998</v>
      </c>
      <c r="G140" s="250">
        <f t="shared" ref="G140:H140" si="78">SUM(G134:G139)</f>
        <v>1376.8690000000001</v>
      </c>
      <c r="H140" s="254">
        <f t="shared" si="78"/>
        <v>6566.6059999999998</v>
      </c>
      <c r="I140" s="251">
        <f t="shared" ref="I140" si="79">SUM(I134:I139)</f>
        <v>4024.6940000000004</v>
      </c>
    </row>
    <row r="142" spans="1:9" ht="15" thickBot="1" x14ac:dyDescent="0.35"/>
    <row r="143" spans="1:9" x14ac:dyDescent="0.3">
      <c r="A143" s="295" t="s">
        <v>136</v>
      </c>
      <c r="B143" s="296"/>
      <c r="C143" s="296"/>
      <c r="D143" s="296"/>
      <c r="E143" s="296"/>
      <c r="F143" s="296"/>
      <c r="G143" s="296"/>
      <c r="H143" s="296"/>
      <c r="I143" s="297"/>
    </row>
    <row r="144" spans="1:9" x14ac:dyDescent="0.3">
      <c r="A144" s="298" t="s">
        <v>461</v>
      </c>
      <c r="B144" s="299"/>
      <c r="C144" s="299"/>
      <c r="D144" s="299"/>
      <c r="E144" s="299"/>
      <c r="F144" s="299"/>
      <c r="G144" s="299"/>
      <c r="H144" s="299"/>
      <c r="I144" s="300"/>
    </row>
    <row r="145" spans="1:9" x14ac:dyDescent="0.3">
      <c r="A145" s="298" t="s">
        <v>462</v>
      </c>
      <c r="B145" s="299"/>
      <c r="C145" s="299"/>
      <c r="D145" s="299"/>
      <c r="E145" s="299"/>
      <c r="F145" s="299"/>
      <c r="G145" s="299"/>
      <c r="H145" s="299"/>
      <c r="I145" s="300"/>
    </row>
    <row r="146" spans="1:9" x14ac:dyDescent="0.3">
      <c r="A146" s="298" t="s">
        <v>463</v>
      </c>
      <c r="B146" s="299"/>
      <c r="C146" s="299"/>
      <c r="D146" s="299"/>
      <c r="E146" s="299"/>
      <c r="F146" s="299"/>
      <c r="G146" s="299"/>
      <c r="H146" s="299"/>
      <c r="I146" s="300"/>
    </row>
    <row r="147" spans="1:9" x14ac:dyDescent="0.3">
      <c r="A147" s="148"/>
      <c r="B147" s="142"/>
      <c r="C147" s="142"/>
      <c r="D147" s="142"/>
      <c r="E147" s="142"/>
      <c r="F147" s="142"/>
      <c r="G147" s="142"/>
      <c r="H147" s="142"/>
      <c r="I147" s="245"/>
    </row>
    <row r="148" spans="1:9" ht="20.399999999999999" customHeight="1" x14ac:dyDescent="0.3">
      <c r="A148" s="148" t="s">
        <v>457</v>
      </c>
      <c r="B148" s="142"/>
      <c r="C148" s="142" t="s">
        <v>458</v>
      </c>
      <c r="D148" s="142"/>
      <c r="E148" s="142"/>
      <c r="F148" s="142" t="s">
        <v>459</v>
      </c>
      <c r="G148" s="142" t="s">
        <v>126</v>
      </c>
      <c r="H148" s="142"/>
      <c r="I148" s="245"/>
    </row>
    <row r="149" spans="1:9" x14ac:dyDescent="0.3">
      <c r="A149" s="148" t="s">
        <v>468</v>
      </c>
      <c r="B149" s="142"/>
      <c r="C149" s="142"/>
      <c r="D149" s="142"/>
      <c r="E149" s="142"/>
      <c r="F149" s="142" t="s">
        <v>460</v>
      </c>
      <c r="G149" s="142"/>
      <c r="H149" s="142"/>
      <c r="I149" s="245"/>
    </row>
    <row r="150" spans="1:9" x14ac:dyDescent="0.3">
      <c r="A150" s="148"/>
      <c r="B150" s="142"/>
      <c r="C150" s="142"/>
      <c r="D150" s="142"/>
      <c r="E150" s="142"/>
      <c r="F150" s="142"/>
      <c r="G150" s="142"/>
      <c r="H150" s="142"/>
      <c r="I150" s="245"/>
    </row>
    <row r="151" spans="1:9" ht="21.6" customHeight="1" x14ac:dyDescent="0.3">
      <c r="A151" s="301" t="s">
        <v>450</v>
      </c>
      <c r="B151" s="302" t="s">
        <v>455</v>
      </c>
      <c r="C151" s="303" t="s">
        <v>456</v>
      </c>
      <c r="D151" s="303" t="s">
        <v>31</v>
      </c>
      <c r="E151" s="242" t="s">
        <v>464</v>
      </c>
      <c r="F151" s="242" t="s">
        <v>465</v>
      </c>
      <c r="G151" s="242" t="s">
        <v>466</v>
      </c>
      <c r="H151" s="304" t="s">
        <v>471</v>
      </c>
      <c r="I151" s="246" t="s">
        <v>467</v>
      </c>
    </row>
    <row r="152" spans="1:9" s="239" customFormat="1" ht="28.95" customHeight="1" x14ac:dyDescent="0.3">
      <c r="A152" s="301"/>
      <c r="B152" s="302"/>
      <c r="C152" s="303"/>
      <c r="D152" s="303"/>
      <c r="E152" s="243">
        <v>0.4</v>
      </c>
      <c r="F152" s="243">
        <v>0.09</v>
      </c>
      <c r="G152" s="243">
        <v>0.13</v>
      </c>
      <c r="H152" s="305"/>
      <c r="I152" s="247">
        <v>0.38</v>
      </c>
    </row>
    <row r="153" spans="1:9" s="239" customFormat="1" ht="28.95" customHeight="1" x14ac:dyDescent="0.3">
      <c r="A153" s="248"/>
      <c r="B153" s="244" t="s">
        <v>113</v>
      </c>
      <c r="C153" s="244" t="s">
        <v>113</v>
      </c>
      <c r="D153" s="244" t="s">
        <v>113</v>
      </c>
      <c r="E153" s="244" t="s">
        <v>113</v>
      </c>
      <c r="F153" s="244" t="s">
        <v>113</v>
      </c>
      <c r="G153" s="244" t="s">
        <v>113</v>
      </c>
      <c r="H153" s="252" t="s">
        <v>113</v>
      </c>
      <c r="I153" s="249" t="s">
        <v>113</v>
      </c>
    </row>
    <row r="154" spans="1:9" x14ac:dyDescent="0.3">
      <c r="A154" s="105" t="s">
        <v>144</v>
      </c>
      <c r="B154" s="20">
        <f>'RECEIPTS AND PAYMENT ANANLYSIS'!I9</f>
        <v>3820</v>
      </c>
      <c r="C154" s="20">
        <f>'RECEIPTS AND PAYMENT ANANLYSIS'!I10</f>
        <v>306</v>
      </c>
      <c r="D154" s="20">
        <f>SUM(B154:C154)</f>
        <v>4126</v>
      </c>
      <c r="E154" s="9">
        <f>D154*$E$10</f>
        <v>1650.4</v>
      </c>
      <c r="F154" s="9">
        <f>D154*$F$10</f>
        <v>371.34</v>
      </c>
      <c r="G154" s="9">
        <f>D154*$G$10</f>
        <v>536.38</v>
      </c>
      <c r="H154" s="253">
        <f>SUM(E154:G154)</f>
        <v>2558.12</v>
      </c>
      <c r="I154" s="104">
        <f>D154*$I$10</f>
        <v>1567.88</v>
      </c>
    </row>
    <row r="155" spans="1:9" x14ac:dyDescent="0.3">
      <c r="A155" s="105" t="s">
        <v>141</v>
      </c>
      <c r="B155" s="20">
        <f>'RECEIPTS AND PAYMENT ANANLYSIS'!I8</f>
        <v>2336.5</v>
      </c>
      <c r="C155" s="10"/>
      <c r="D155" s="20">
        <f t="shared" ref="D155:D159" si="80">SUM(B155:C155)</f>
        <v>2336.5</v>
      </c>
      <c r="E155" s="9">
        <f t="shared" ref="E155:E159" si="81">D155*$E$10</f>
        <v>934.6</v>
      </c>
      <c r="F155" s="9">
        <f t="shared" ref="F155:F159" si="82">D155*$F$10</f>
        <v>210.285</v>
      </c>
      <c r="G155" s="9">
        <f t="shared" ref="G155:G159" si="83">D155*$G$10</f>
        <v>303.745</v>
      </c>
      <c r="H155" s="253">
        <f t="shared" ref="H155:H159" si="84">SUM(E155:G155)</f>
        <v>1448.63</v>
      </c>
      <c r="I155" s="104">
        <f t="shared" ref="I155:I159" si="85">D155*$I$10</f>
        <v>887.87</v>
      </c>
    </row>
    <row r="156" spans="1:9" x14ac:dyDescent="0.3">
      <c r="A156" s="105" t="s">
        <v>451</v>
      </c>
      <c r="B156" s="10"/>
      <c r="C156" s="10"/>
      <c r="D156" s="20">
        <f t="shared" si="80"/>
        <v>0</v>
      </c>
      <c r="E156" s="9">
        <f t="shared" si="81"/>
        <v>0</v>
      </c>
      <c r="F156" s="9">
        <f t="shared" si="82"/>
        <v>0</v>
      </c>
      <c r="G156" s="9">
        <f t="shared" si="83"/>
        <v>0</v>
      </c>
      <c r="H156" s="253">
        <f t="shared" si="84"/>
        <v>0</v>
      </c>
      <c r="I156" s="104">
        <f t="shared" si="85"/>
        <v>0</v>
      </c>
    </row>
    <row r="157" spans="1:9" x14ac:dyDescent="0.3">
      <c r="A157" s="105" t="s">
        <v>452</v>
      </c>
      <c r="B157" s="20">
        <f>'RECEIPTS AND PAYMENT ANANLYSIS'!I11</f>
        <v>350</v>
      </c>
      <c r="C157" s="10"/>
      <c r="D157" s="20">
        <f t="shared" si="80"/>
        <v>350</v>
      </c>
      <c r="E157" s="9">
        <f t="shared" si="81"/>
        <v>140</v>
      </c>
      <c r="F157" s="9">
        <f t="shared" si="82"/>
        <v>31.5</v>
      </c>
      <c r="G157" s="9">
        <f t="shared" si="83"/>
        <v>45.5</v>
      </c>
      <c r="H157" s="253">
        <f t="shared" si="84"/>
        <v>217</v>
      </c>
      <c r="I157" s="104">
        <f t="shared" si="85"/>
        <v>133</v>
      </c>
    </row>
    <row r="158" spans="1:9" x14ac:dyDescent="0.3">
      <c r="A158" s="105" t="s">
        <v>453</v>
      </c>
      <c r="B158" s="10"/>
      <c r="C158" s="10"/>
      <c r="D158" s="20">
        <f t="shared" si="80"/>
        <v>0</v>
      </c>
      <c r="E158" s="9">
        <f t="shared" si="81"/>
        <v>0</v>
      </c>
      <c r="F158" s="9">
        <f t="shared" si="82"/>
        <v>0</v>
      </c>
      <c r="G158" s="9">
        <f t="shared" si="83"/>
        <v>0</v>
      </c>
      <c r="H158" s="253">
        <f t="shared" si="84"/>
        <v>0</v>
      </c>
      <c r="I158" s="104">
        <f t="shared" si="85"/>
        <v>0</v>
      </c>
    </row>
    <row r="159" spans="1:9" x14ac:dyDescent="0.3">
      <c r="A159" s="105" t="s">
        <v>145</v>
      </c>
      <c r="B159" s="20">
        <f>'RECEIPTS AND PAYMENT ANANLYSIS'!I14</f>
        <v>70</v>
      </c>
      <c r="C159" s="10"/>
      <c r="D159" s="20">
        <f t="shared" si="80"/>
        <v>70</v>
      </c>
      <c r="E159" s="9">
        <f t="shared" si="81"/>
        <v>28</v>
      </c>
      <c r="F159" s="9">
        <f t="shared" si="82"/>
        <v>6.3</v>
      </c>
      <c r="G159" s="9">
        <f t="shared" si="83"/>
        <v>9.1</v>
      </c>
      <c r="H159" s="253">
        <f t="shared" si="84"/>
        <v>43.4</v>
      </c>
      <c r="I159" s="104">
        <f t="shared" si="85"/>
        <v>26.6</v>
      </c>
    </row>
    <row r="160" spans="1:9" ht="15" thickBot="1" x14ac:dyDescent="0.35">
      <c r="A160" s="151" t="s">
        <v>454</v>
      </c>
      <c r="B160" s="250">
        <f t="shared" ref="B160" si="86">SUM(B154:B159)</f>
        <v>6576.5</v>
      </c>
      <c r="C160" s="250">
        <f t="shared" ref="C160" si="87">SUM(C154:C159)</f>
        <v>306</v>
      </c>
      <c r="D160" s="250">
        <f>SUM(D154:D159)</f>
        <v>6882.5</v>
      </c>
      <c r="E160" s="250">
        <f t="shared" ref="E160" si="88">SUM(E154:E159)</f>
        <v>2753</v>
      </c>
      <c r="F160" s="250">
        <f t="shared" ref="F160" si="89">SUM(F154:F159)</f>
        <v>619.42499999999995</v>
      </c>
      <c r="G160" s="250">
        <f t="shared" ref="G160:H160" si="90">SUM(G154:G159)</f>
        <v>894.72500000000002</v>
      </c>
      <c r="H160" s="254">
        <f t="shared" si="90"/>
        <v>4267.1499999999996</v>
      </c>
      <c r="I160" s="251">
        <f t="shared" ref="I160" si="91">SUM(I154:I159)</f>
        <v>2615.35</v>
      </c>
    </row>
    <row r="162" spans="1:9" ht="15" thickBot="1" x14ac:dyDescent="0.35"/>
    <row r="163" spans="1:9" x14ac:dyDescent="0.3">
      <c r="A163" s="295" t="s">
        <v>136</v>
      </c>
      <c r="B163" s="296"/>
      <c r="C163" s="296"/>
      <c r="D163" s="296"/>
      <c r="E163" s="296"/>
      <c r="F163" s="296"/>
      <c r="G163" s="296"/>
      <c r="H163" s="296"/>
      <c r="I163" s="297"/>
    </row>
    <row r="164" spans="1:9" x14ac:dyDescent="0.3">
      <c r="A164" s="298" t="s">
        <v>461</v>
      </c>
      <c r="B164" s="299"/>
      <c r="C164" s="299"/>
      <c r="D164" s="299"/>
      <c r="E164" s="299"/>
      <c r="F164" s="299"/>
      <c r="G164" s="299"/>
      <c r="H164" s="299"/>
      <c r="I164" s="300"/>
    </row>
    <row r="165" spans="1:9" x14ac:dyDescent="0.3">
      <c r="A165" s="298" t="s">
        <v>462</v>
      </c>
      <c r="B165" s="299"/>
      <c r="C165" s="299"/>
      <c r="D165" s="299"/>
      <c r="E165" s="299"/>
      <c r="F165" s="299"/>
      <c r="G165" s="299"/>
      <c r="H165" s="299"/>
      <c r="I165" s="300"/>
    </row>
    <row r="166" spans="1:9" x14ac:dyDescent="0.3">
      <c r="A166" s="298" t="s">
        <v>463</v>
      </c>
      <c r="B166" s="299"/>
      <c r="C166" s="299"/>
      <c r="D166" s="299"/>
      <c r="E166" s="299"/>
      <c r="F166" s="299"/>
      <c r="G166" s="299"/>
      <c r="H166" s="299"/>
      <c r="I166" s="300"/>
    </row>
    <row r="167" spans="1:9" x14ac:dyDescent="0.3">
      <c r="A167" s="148"/>
      <c r="B167" s="142"/>
      <c r="C167" s="142"/>
      <c r="D167" s="142"/>
      <c r="E167" s="142"/>
      <c r="F167" s="142"/>
      <c r="G167" s="142"/>
      <c r="H167" s="142"/>
      <c r="I167" s="245"/>
    </row>
    <row r="168" spans="1:9" ht="20.399999999999999" customHeight="1" x14ac:dyDescent="0.3">
      <c r="A168" s="148" t="s">
        <v>457</v>
      </c>
      <c r="B168" s="142"/>
      <c r="C168" s="142" t="s">
        <v>458</v>
      </c>
      <c r="D168" s="142"/>
      <c r="E168" s="142"/>
      <c r="F168" s="142" t="s">
        <v>459</v>
      </c>
      <c r="G168" s="142" t="s">
        <v>127</v>
      </c>
      <c r="H168" s="142"/>
      <c r="I168" s="245"/>
    </row>
    <row r="169" spans="1:9" x14ac:dyDescent="0.3">
      <c r="A169" s="148" t="s">
        <v>468</v>
      </c>
      <c r="B169" s="142"/>
      <c r="C169" s="142"/>
      <c r="D169" s="142"/>
      <c r="E169" s="142"/>
      <c r="F169" s="142" t="s">
        <v>460</v>
      </c>
      <c r="G169" s="142"/>
      <c r="H169" s="142"/>
      <c r="I169" s="245"/>
    </row>
    <row r="170" spans="1:9" x14ac:dyDescent="0.3">
      <c r="A170" s="148"/>
      <c r="B170" s="142"/>
      <c r="C170" s="142"/>
      <c r="D170" s="142"/>
      <c r="E170" s="142"/>
      <c r="F170" s="142"/>
      <c r="G170" s="142"/>
      <c r="H170" s="142"/>
      <c r="I170" s="245"/>
    </row>
    <row r="171" spans="1:9" ht="21.6" customHeight="1" x14ac:dyDescent="0.3">
      <c r="A171" s="301" t="s">
        <v>450</v>
      </c>
      <c r="B171" s="302" t="s">
        <v>455</v>
      </c>
      <c r="C171" s="303" t="s">
        <v>456</v>
      </c>
      <c r="D171" s="303" t="s">
        <v>31</v>
      </c>
      <c r="E171" s="242" t="s">
        <v>464</v>
      </c>
      <c r="F171" s="242" t="s">
        <v>465</v>
      </c>
      <c r="G171" s="242" t="s">
        <v>466</v>
      </c>
      <c r="H171" s="304" t="s">
        <v>471</v>
      </c>
      <c r="I171" s="246" t="s">
        <v>467</v>
      </c>
    </row>
    <row r="172" spans="1:9" s="239" customFormat="1" ht="28.95" customHeight="1" x14ac:dyDescent="0.3">
      <c r="A172" s="301"/>
      <c r="B172" s="302"/>
      <c r="C172" s="303"/>
      <c r="D172" s="303"/>
      <c r="E172" s="243">
        <v>0.4</v>
      </c>
      <c r="F172" s="243">
        <v>0.09</v>
      </c>
      <c r="G172" s="243">
        <v>0.13</v>
      </c>
      <c r="H172" s="305"/>
      <c r="I172" s="247">
        <v>0.38</v>
      </c>
    </row>
    <row r="173" spans="1:9" s="239" customFormat="1" ht="28.95" customHeight="1" x14ac:dyDescent="0.3">
      <c r="A173" s="248"/>
      <c r="B173" s="244" t="s">
        <v>113</v>
      </c>
      <c r="C173" s="244" t="s">
        <v>113</v>
      </c>
      <c r="D173" s="244" t="s">
        <v>113</v>
      </c>
      <c r="E173" s="244" t="s">
        <v>113</v>
      </c>
      <c r="F173" s="244" t="s">
        <v>113</v>
      </c>
      <c r="G173" s="244" t="s">
        <v>113</v>
      </c>
      <c r="H173" s="252" t="s">
        <v>113</v>
      </c>
      <c r="I173" s="249" t="s">
        <v>113</v>
      </c>
    </row>
    <row r="174" spans="1:9" x14ac:dyDescent="0.3">
      <c r="A174" s="105" t="s">
        <v>144</v>
      </c>
      <c r="B174" s="20">
        <f>'RECEIPTS AND PAYMENT ANANLYSIS'!J9</f>
        <v>13500</v>
      </c>
      <c r="C174" s="20">
        <f>'RECEIPTS AND PAYMENT ANANLYSIS'!J10</f>
        <v>305</v>
      </c>
      <c r="D174" s="20">
        <f>SUM(B174:C174)</f>
        <v>13805</v>
      </c>
      <c r="E174" s="9">
        <f>D174*$E$10</f>
        <v>5522</v>
      </c>
      <c r="F174" s="9">
        <f>D174*$F$10</f>
        <v>1242.45</v>
      </c>
      <c r="G174" s="9">
        <f>D174*$G$10</f>
        <v>1794.65</v>
      </c>
      <c r="H174" s="253">
        <f>SUM(E174:G174)</f>
        <v>8559.1</v>
      </c>
      <c r="I174" s="104">
        <f>D174*$I$10</f>
        <v>5245.9</v>
      </c>
    </row>
    <row r="175" spans="1:9" x14ac:dyDescent="0.3">
      <c r="A175" s="105" t="s">
        <v>141</v>
      </c>
      <c r="B175" s="20">
        <f>'RECEIPTS AND PAYMENT ANANLYSIS'!J8</f>
        <v>4176.5999999999995</v>
      </c>
      <c r="C175" s="10"/>
      <c r="D175" s="20">
        <f t="shared" ref="D175:D179" si="92">SUM(B175:C175)</f>
        <v>4176.5999999999995</v>
      </c>
      <c r="E175" s="9">
        <f t="shared" ref="E175:E179" si="93">D175*$E$10</f>
        <v>1670.6399999999999</v>
      </c>
      <c r="F175" s="9">
        <f t="shared" ref="F175:F179" si="94">D175*$F$10</f>
        <v>375.89399999999995</v>
      </c>
      <c r="G175" s="9">
        <f t="shared" ref="G175:G179" si="95">D175*$G$10</f>
        <v>542.95799999999997</v>
      </c>
      <c r="H175" s="253">
        <f t="shared" ref="H175:H179" si="96">SUM(E175:G175)</f>
        <v>2589.4919999999997</v>
      </c>
      <c r="I175" s="104">
        <f t="shared" ref="I175:I179" si="97">D175*$I$10</f>
        <v>1587.1079999999997</v>
      </c>
    </row>
    <row r="176" spans="1:9" x14ac:dyDescent="0.3">
      <c r="A176" s="105" t="s">
        <v>451</v>
      </c>
      <c r="B176" s="10"/>
      <c r="C176" s="10"/>
      <c r="D176" s="20">
        <f t="shared" si="92"/>
        <v>0</v>
      </c>
      <c r="E176" s="9">
        <f t="shared" si="93"/>
        <v>0</v>
      </c>
      <c r="F176" s="9">
        <f t="shared" si="94"/>
        <v>0</v>
      </c>
      <c r="G176" s="9">
        <f t="shared" si="95"/>
        <v>0</v>
      </c>
      <c r="H176" s="253">
        <f t="shared" si="96"/>
        <v>0</v>
      </c>
      <c r="I176" s="104">
        <f t="shared" si="97"/>
        <v>0</v>
      </c>
    </row>
    <row r="177" spans="1:9" x14ac:dyDescent="0.3">
      <c r="A177" s="105" t="s">
        <v>452</v>
      </c>
      <c r="B177" s="20">
        <f>'RECEIPTS AND PAYMENT ANANLYSIS'!J11</f>
        <v>930</v>
      </c>
      <c r="C177" s="10"/>
      <c r="D177" s="20">
        <f t="shared" si="92"/>
        <v>930</v>
      </c>
      <c r="E177" s="9">
        <f t="shared" si="93"/>
        <v>372</v>
      </c>
      <c r="F177" s="9">
        <f t="shared" si="94"/>
        <v>83.7</v>
      </c>
      <c r="G177" s="9">
        <f t="shared" si="95"/>
        <v>120.9</v>
      </c>
      <c r="H177" s="253">
        <f t="shared" si="96"/>
        <v>576.6</v>
      </c>
      <c r="I177" s="104">
        <f t="shared" si="97"/>
        <v>353.4</v>
      </c>
    </row>
    <row r="178" spans="1:9" x14ac:dyDescent="0.3">
      <c r="A178" s="105" t="s">
        <v>453</v>
      </c>
      <c r="B178" s="10"/>
      <c r="C178" s="10"/>
      <c r="D178" s="20">
        <f t="shared" si="92"/>
        <v>0</v>
      </c>
      <c r="E178" s="9">
        <f t="shared" si="93"/>
        <v>0</v>
      </c>
      <c r="F178" s="9">
        <f t="shared" si="94"/>
        <v>0</v>
      </c>
      <c r="G178" s="9">
        <f t="shared" si="95"/>
        <v>0</v>
      </c>
      <c r="H178" s="253">
        <f t="shared" si="96"/>
        <v>0</v>
      </c>
      <c r="I178" s="104">
        <f t="shared" si="97"/>
        <v>0</v>
      </c>
    </row>
    <row r="179" spans="1:9" x14ac:dyDescent="0.3">
      <c r="A179" s="105" t="s">
        <v>145</v>
      </c>
      <c r="B179" s="20">
        <f>'RECEIPTS AND PAYMENT ANANLYSIS'!J14</f>
        <v>10</v>
      </c>
      <c r="C179" s="10"/>
      <c r="D179" s="20">
        <f t="shared" si="92"/>
        <v>10</v>
      </c>
      <c r="E179" s="9">
        <f t="shared" si="93"/>
        <v>4</v>
      </c>
      <c r="F179" s="9">
        <f t="shared" si="94"/>
        <v>0.89999999999999991</v>
      </c>
      <c r="G179" s="9">
        <f t="shared" si="95"/>
        <v>1.3</v>
      </c>
      <c r="H179" s="253">
        <f t="shared" si="96"/>
        <v>6.2</v>
      </c>
      <c r="I179" s="104">
        <f t="shared" si="97"/>
        <v>3.8</v>
      </c>
    </row>
    <row r="180" spans="1:9" ht="15" thickBot="1" x14ac:dyDescent="0.35">
      <c r="A180" s="151" t="s">
        <v>454</v>
      </c>
      <c r="B180" s="250">
        <f t="shared" ref="B180" si="98">SUM(B174:B179)</f>
        <v>18616.599999999999</v>
      </c>
      <c r="C180" s="250">
        <f t="shared" ref="C180" si="99">SUM(C174:C179)</f>
        <v>305</v>
      </c>
      <c r="D180" s="250">
        <f>SUM(D174:D179)</f>
        <v>18921.599999999999</v>
      </c>
      <c r="E180" s="250">
        <f t="shared" ref="E180" si="100">SUM(E174:E179)</f>
        <v>7568.6399999999994</v>
      </c>
      <c r="F180" s="250">
        <f t="shared" ref="F180" si="101">SUM(F174:F179)</f>
        <v>1702.9440000000002</v>
      </c>
      <c r="G180" s="250">
        <f t="shared" ref="G180:H180" si="102">SUM(G174:G179)</f>
        <v>2459.8080000000004</v>
      </c>
      <c r="H180" s="254">
        <f t="shared" si="102"/>
        <v>11731.392000000002</v>
      </c>
      <c r="I180" s="251">
        <f t="shared" ref="I180" si="103">SUM(I174:I179)</f>
        <v>7190.2079999999996</v>
      </c>
    </row>
    <row r="182" spans="1:9" ht="15" thickBot="1" x14ac:dyDescent="0.35"/>
    <row r="183" spans="1:9" x14ac:dyDescent="0.3">
      <c r="A183" s="295" t="s">
        <v>136</v>
      </c>
      <c r="B183" s="296"/>
      <c r="C183" s="296"/>
      <c r="D183" s="296"/>
      <c r="E183" s="296"/>
      <c r="F183" s="296"/>
      <c r="G183" s="296"/>
      <c r="H183" s="296"/>
      <c r="I183" s="297"/>
    </row>
    <row r="184" spans="1:9" x14ac:dyDescent="0.3">
      <c r="A184" s="298" t="s">
        <v>461</v>
      </c>
      <c r="B184" s="299"/>
      <c r="C184" s="299"/>
      <c r="D184" s="299"/>
      <c r="E184" s="299"/>
      <c r="F184" s="299"/>
      <c r="G184" s="299"/>
      <c r="H184" s="299"/>
      <c r="I184" s="300"/>
    </row>
    <row r="185" spans="1:9" x14ac:dyDescent="0.3">
      <c r="A185" s="298" t="s">
        <v>462</v>
      </c>
      <c r="B185" s="299"/>
      <c r="C185" s="299"/>
      <c r="D185" s="299"/>
      <c r="E185" s="299"/>
      <c r="F185" s="299"/>
      <c r="G185" s="299"/>
      <c r="H185" s="299"/>
      <c r="I185" s="300"/>
    </row>
    <row r="186" spans="1:9" x14ac:dyDescent="0.3">
      <c r="A186" s="298" t="s">
        <v>463</v>
      </c>
      <c r="B186" s="299"/>
      <c r="C186" s="299"/>
      <c r="D186" s="299"/>
      <c r="E186" s="299"/>
      <c r="F186" s="299"/>
      <c r="G186" s="299"/>
      <c r="H186" s="299"/>
      <c r="I186" s="300"/>
    </row>
    <row r="187" spans="1:9" x14ac:dyDescent="0.3">
      <c r="A187" s="148"/>
      <c r="B187" s="142"/>
      <c r="C187" s="142"/>
      <c r="D187" s="142"/>
      <c r="E187" s="142"/>
      <c r="F187" s="142"/>
      <c r="G187" s="142"/>
      <c r="H187" s="142"/>
      <c r="I187" s="245"/>
    </row>
    <row r="188" spans="1:9" ht="20.399999999999999" customHeight="1" x14ac:dyDescent="0.3">
      <c r="A188" s="148" t="s">
        <v>457</v>
      </c>
      <c r="B188" s="142"/>
      <c r="C188" s="142" t="s">
        <v>458</v>
      </c>
      <c r="D188" s="142"/>
      <c r="E188" s="142"/>
      <c r="F188" s="142" t="s">
        <v>459</v>
      </c>
      <c r="G188" s="142" t="s">
        <v>122</v>
      </c>
      <c r="H188" s="142"/>
      <c r="I188" s="245"/>
    </row>
    <row r="189" spans="1:9" x14ac:dyDescent="0.3">
      <c r="A189" s="148" t="s">
        <v>468</v>
      </c>
      <c r="B189" s="142"/>
      <c r="C189" s="142"/>
      <c r="D189" s="142"/>
      <c r="E189" s="142"/>
      <c r="F189" s="142" t="s">
        <v>460</v>
      </c>
      <c r="G189" s="142"/>
      <c r="H189" s="142"/>
      <c r="I189" s="245"/>
    </row>
    <row r="190" spans="1:9" x14ac:dyDescent="0.3">
      <c r="A190" s="148"/>
      <c r="B190" s="142"/>
      <c r="C190" s="142"/>
      <c r="D190" s="142"/>
      <c r="E190" s="142"/>
      <c r="F190" s="142"/>
      <c r="G190" s="142"/>
      <c r="H190" s="142"/>
      <c r="I190" s="245"/>
    </row>
    <row r="191" spans="1:9" ht="21.6" customHeight="1" x14ac:dyDescent="0.3">
      <c r="A191" s="301" t="s">
        <v>450</v>
      </c>
      <c r="B191" s="302" t="s">
        <v>455</v>
      </c>
      <c r="C191" s="303" t="s">
        <v>456</v>
      </c>
      <c r="D191" s="303" t="s">
        <v>31</v>
      </c>
      <c r="E191" s="242" t="s">
        <v>464</v>
      </c>
      <c r="F191" s="242" t="s">
        <v>465</v>
      </c>
      <c r="G191" s="242" t="s">
        <v>466</v>
      </c>
      <c r="H191" s="304" t="s">
        <v>471</v>
      </c>
      <c r="I191" s="246" t="s">
        <v>467</v>
      </c>
    </row>
    <row r="192" spans="1:9" s="239" customFormat="1" ht="28.95" customHeight="1" x14ac:dyDescent="0.3">
      <c r="A192" s="301"/>
      <c r="B192" s="302"/>
      <c r="C192" s="303"/>
      <c r="D192" s="303"/>
      <c r="E192" s="243">
        <v>0.4</v>
      </c>
      <c r="F192" s="243">
        <v>0.09</v>
      </c>
      <c r="G192" s="243">
        <v>0.13</v>
      </c>
      <c r="H192" s="305"/>
      <c r="I192" s="247">
        <v>0.38</v>
      </c>
    </row>
    <row r="193" spans="1:9" s="239" customFormat="1" ht="28.95" customHeight="1" x14ac:dyDescent="0.3">
      <c r="A193" s="248"/>
      <c r="B193" s="244" t="s">
        <v>113</v>
      </c>
      <c r="C193" s="244" t="s">
        <v>113</v>
      </c>
      <c r="D193" s="244" t="s">
        <v>113</v>
      </c>
      <c r="E193" s="244" t="s">
        <v>113</v>
      </c>
      <c r="F193" s="244" t="s">
        <v>113</v>
      </c>
      <c r="G193" s="244" t="s">
        <v>113</v>
      </c>
      <c r="H193" s="252" t="s">
        <v>113</v>
      </c>
      <c r="I193" s="249" t="s">
        <v>113</v>
      </c>
    </row>
    <row r="194" spans="1:9" x14ac:dyDescent="0.3">
      <c r="A194" s="105" t="s">
        <v>144</v>
      </c>
      <c r="B194" s="20">
        <f>'RECEIPTS AND PAYMENT ANANLYSIS'!K9</f>
        <v>9100</v>
      </c>
      <c r="C194" s="20">
        <f>'RECEIPTS AND PAYMENT ANANLYSIS'!K10</f>
        <v>337</v>
      </c>
      <c r="D194" s="20">
        <f>SUM(B194:C194)</f>
        <v>9437</v>
      </c>
      <c r="E194" s="9">
        <f>D194*$E$10</f>
        <v>3774.8</v>
      </c>
      <c r="F194" s="9">
        <f>D194*$F$10</f>
        <v>849.32999999999993</v>
      </c>
      <c r="G194" s="9">
        <f>D194*$G$10</f>
        <v>1226.81</v>
      </c>
      <c r="H194" s="253">
        <f>SUM(E194:G194)</f>
        <v>5850.9400000000005</v>
      </c>
      <c r="I194" s="104">
        <f>D194*$I$10</f>
        <v>3586.06</v>
      </c>
    </row>
    <row r="195" spans="1:9" x14ac:dyDescent="0.3">
      <c r="A195" s="105" t="s">
        <v>141</v>
      </c>
      <c r="B195" s="20">
        <f>'RECEIPTS AND PAYMENT ANANLYSIS'!K8</f>
        <v>3376.7</v>
      </c>
      <c r="C195" s="10"/>
      <c r="D195" s="20">
        <f t="shared" ref="D195:D199" si="104">SUM(B195:C195)</f>
        <v>3376.7</v>
      </c>
      <c r="E195" s="9">
        <f t="shared" ref="E195:E199" si="105">D195*$E$10</f>
        <v>1350.68</v>
      </c>
      <c r="F195" s="9">
        <f t="shared" ref="F195:F199" si="106">D195*$F$10</f>
        <v>303.90299999999996</v>
      </c>
      <c r="G195" s="9">
        <f t="shared" ref="G195:G199" si="107">D195*$G$10</f>
        <v>438.971</v>
      </c>
      <c r="H195" s="253">
        <f t="shared" ref="H195:H199" si="108">SUM(E195:G195)</f>
        <v>2093.5540000000001</v>
      </c>
      <c r="I195" s="104">
        <f t="shared" ref="I195:I199" si="109">D195*$I$10</f>
        <v>1283.146</v>
      </c>
    </row>
    <row r="196" spans="1:9" x14ac:dyDescent="0.3">
      <c r="A196" s="105" t="s">
        <v>451</v>
      </c>
      <c r="B196" s="10"/>
      <c r="C196" s="10"/>
      <c r="D196" s="20">
        <f t="shared" si="104"/>
        <v>0</v>
      </c>
      <c r="E196" s="9">
        <f t="shared" si="105"/>
        <v>0</v>
      </c>
      <c r="F196" s="9">
        <f t="shared" si="106"/>
        <v>0</v>
      </c>
      <c r="G196" s="9">
        <f t="shared" si="107"/>
        <v>0</v>
      </c>
      <c r="H196" s="253">
        <f t="shared" si="108"/>
        <v>0</v>
      </c>
      <c r="I196" s="104">
        <f t="shared" si="109"/>
        <v>0</v>
      </c>
    </row>
    <row r="197" spans="1:9" x14ac:dyDescent="0.3">
      <c r="A197" s="105" t="s">
        <v>452</v>
      </c>
      <c r="B197" s="20">
        <f>'RECEIPTS AND PAYMENT ANANLYSIS'!K11</f>
        <v>500</v>
      </c>
      <c r="C197" s="10"/>
      <c r="D197" s="20">
        <f t="shared" si="104"/>
        <v>500</v>
      </c>
      <c r="E197" s="9">
        <f t="shared" si="105"/>
        <v>200</v>
      </c>
      <c r="F197" s="9">
        <f t="shared" si="106"/>
        <v>45</v>
      </c>
      <c r="G197" s="9">
        <f t="shared" si="107"/>
        <v>65</v>
      </c>
      <c r="H197" s="253">
        <f t="shared" si="108"/>
        <v>310</v>
      </c>
      <c r="I197" s="104">
        <f t="shared" si="109"/>
        <v>190</v>
      </c>
    </row>
    <row r="198" spans="1:9" x14ac:dyDescent="0.3">
      <c r="A198" s="105" t="s">
        <v>453</v>
      </c>
      <c r="B198" s="10"/>
      <c r="C198" s="10"/>
      <c r="D198" s="20">
        <f t="shared" si="104"/>
        <v>0</v>
      </c>
      <c r="E198" s="9">
        <f t="shared" si="105"/>
        <v>0</v>
      </c>
      <c r="F198" s="9">
        <f t="shared" si="106"/>
        <v>0</v>
      </c>
      <c r="G198" s="9">
        <f t="shared" si="107"/>
        <v>0</v>
      </c>
      <c r="H198" s="253">
        <f t="shared" si="108"/>
        <v>0</v>
      </c>
      <c r="I198" s="104">
        <f t="shared" si="109"/>
        <v>0</v>
      </c>
    </row>
    <row r="199" spans="1:9" x14ac:dyDescent="0.3">
      <c r="A199" s="105" t="s">
        <v>145</v>
      </c>
      <c r="B199" s="20">
        <f>'RECEIPTS AND PAYMENT ANANLYSIS'!K14</f>
        <v>0</v>
      </c>
      <c r="C199" s="10"/>
      <c r="D199" s="20">
        <f t="shared" si="104"/>
        <v>0</v>
      </c>
      <c r="E199" s="9">
        <f t="shared" si="105"/>
        <v>0</v>
      </c>
      <c r="F199" s="9">
        <f t="shared" si="106"/>
        <v>0</v>
      </c>
      <c r="G199" s="9">
        <f t="shared" si="107"/>
        <v>0</v>
      </c>
      <c r="H199" s="253">
        <f t="shared" si="108"/>
        <v>0</v>
      </c>
      <c r="I199" s="104">
        <f t="shared" si="109"/>
        <v>0</v>
      </c>
    </row>
    <row r="200" spans="1:9" ht="15" thickBot="1" x14ac:dyDescent="0.35">
      <c r="A200" s="151" t="s">
        <v>454</v>
      </c>
      <c r="B200" s="250">
        <f t="shared" ref="B200" si="110">SUM(B194:B199)</f>
        <v>12976.7</v>
      </c>
      <c r="C200" s="250">
        <f t="shared" ref="C200" si="111">SUM(C194:C199)</f>
        <v>337</v>
      </c>
      <c r="D200" s="250">
        <f>SUM(D194:D199)</f>
        <v>13313.7</v>
      </c>
      <c r="E200" s="250">
        <f t="shared" ref="E200" si="112">SUM(E194:E199)</f>
        <v>5325.4800000000005</v>
      </c>
      <c r="F200" s="250">
        <f t="shared" ref="F200" si="113">SUM(F194:F199)</f>
        <v>1198.2329999999999</v>
      </c>
      <c r="G200" s="250">
        <f t="shared" ref="G200:H200" si="114">SUM(G194:G199)</f>
        <v>1730.7809999999999</v>
      </c>
      <c r="H200" s="254">
        <f t="shared" si="114"/>
        <v>8254.4940000000006</v>
      </c>
      <c r="I200" s="251">
        <f t="shared" ref="I200" si="115">SUM(I194:I199)</f>
        <v>5059.2060000000001</v>
      </c>
    </row>
    <row r="202" spans="1:9" ht="15" thickBot="1" x14ac:dyDescent="0.35"/>
    <row r="203" spans="1:9" x14ac:dyDescent="0.3">
      <c r="A203" s="295" t="s">
        <v>136</v>
      </c>
      <c r="B203" s="296"/>
      <c r="C203" s="296"/>
      <c r="D203" s="296"/>
      <c r="E203" s="296"/>
      <c r="F203" s="296"/>
      <c r="G203" s="296"/>
      <c r="H203" s="296"/>
      <c r="I203" s="297"/>
    </row>
    <row r="204" spans="1:9" x14ac:dyDescent="0.3">
      <c r="A204" s="298" t="s">
        <v>461</v>
      </c>
      <c r="B204" s="299"/>
      <c r="C204" s="299"/>
      <c r="D204" s="299"/>
      <c r="E204" s="299"/>
      <c r="F204" s="299"/>
      <c r="G204" s="299"/>
      <c r="H204" s="299"/>
      <c r="I204" s="300"/>
    </row>
    <row r="205" spans="1:9" x14ac:dyDescent="0.3">
      <c r="A205" s="298" t="s">
        <v>462</v>
      </c>
      <c r="B205" s="299"/>
      <c r="C205" s="299"/>
      <c r="D205" s="299"/>
      <c r="E205" s="299"/>
      <c r="F205" s="299"/>
      <c r="G205" s="299"/>
      <c r="H205" s="299"/>
      <c r="I205" s="300"/>
    </row>
    <row r="206" spans="1:9" x14ac:dyDescent="0.3">
      <c r="A206" s="298" t="s">
        <v>463</v>
      </c>
      <c r="B206" s="299"/>
      <c r="C206" s="299"/>
      <c r="D206" s="299"/>
      <c r="E206" s="299"/>
      <c r="F206" s="299"/>
      <c r="G206" s="299"/>
      <c r="H206" s="299"/>
      <c r="I206" s="300"/>
    </row>
    <row r="207" spans="1:9" x14ac:dyDescent="0.3">
      <c r="A207" s="148"/>
      <c r="B207" s="142"/>
      <c r="C207" s="142"/>
      <c r="D207" s="142"/>
      <c r="E207" s="142"/>
      <c r="F207" s="142"/>
      <c r="G207" s="142"/>
      <c r="H207" s="142"/>
      <c r="I207" s="245"/>
    </row>
    <row r="208" spans="1:9" ht="20.399999999999999" customHeight="1" x14ac:dyDescent="0.3">
      <c r="A208" s="148" t="s">
        <v>457</v>
      </c>
      <c r="B208" s="142"/>
      <c r="C208" s="142" t="s">
        <v>458</v>
      </c>
      <c r="D208" s="142"/>
      <c r="E208" s="142"/>
      <c r="F208" s="142" t="s">
        <v>459</v>
      </c>
      <c r="G208" s="142" t="s">
        <v>123</v>
      </c>
      <c r="H208" s="142"/>
      <c r="I208" s="245"/>
    </row>
    <row r="209" spans="1:9" x14ac:dyDescent="0.3">
      <c r="A209" s="148" t="s">
        <v>468</v>
      </c>
      <c r="B209" s="142"/>
      <c r="C209" s="142"/>
      <c r="D209" s="142"/>
      <c r="E209" s="142"/>
      <c r="F209" s="142" t="s">
        <v>460</v>
      </c>
      <c r="G209" s="142"/>
      <c r="H209" s="142"/>
      <c r="I209" s="245"/>
    </row>
    <row r="210" spans="1:9" x14ac:dyDescent="0.3">
      <c r="A210" s="148"/>
      <c r="B210" s="142"/>
      <c r="C210" s="142"/>
      <c r="D210" s="142"/>
      <c r="E210" s="142"/>
      <c r="F210" s="142"/>
      <c r="G210" s="142"/>
      <c r="H210" s="142"/>
      <c r="I210" s="245"/>
    </row>
    <row r="211" spans="1:9" ht="21.6" customHeight="1" x14ac:dyDescent="0.3">
      <c r="A211" s="301" t="s">
        <v>450</v>
      </c>
      <c r="B211" s="302" t="s">
        <v>455</v>
      </c>
      <c r="C211" s="303" t="s">
        <v>456</v>
      </c>
      <c r="D211" s="303" t="s">
        <v>31</v>
      </c>
      <c r="E211" s="242" t="s">
        <v>464</v>
      </c>
      <c r="F211" s="242" t="s">
        <v>465</v>
      </c>
      <c r="G211" s="242" t="s">
        <v>466</v>
      </c>
      <c r="H211" s="304" t="s">
        <v>471</v>
      </c>
      <c r="I211" s="246" t="s">
        <v>467</v>
      </c>
    </row>
    <row r="212" spans="1:9" s="239" customFormat="1" ht="28.95" customHeight="1" x14ac:dyDescent="0.3">
      <c r="A212" s="301"/>
      <c r="B212" s="302"/>
      <c r="C212" s="303"/>
      <c r="D212" s="303"/>
      <c r="E212" s="243">
        <v>0.4</v>
      </c>
      <c r="F212" s="243">
        <v>0.09</v>
      </c>
      <c r="G212" s="243">
        <v>0.13</v>
      </c>
      <c r="H212" s="305"/>
      <c r="I212" s="247">
        <v>0.38</v>
      </c>
    </row>
    <row r="213" spans="1:9" s="239" customFormat="1" ht="28.95" customHeight="1" x14ac:dyDescent="0.3">
      <c r="A213" s="248"/>
      <c r="B213" s="244" t="s">
        <v>113</v>
      </c>
      <c r="C213" s="244" t="s">
        <v>113</v>
      </c>
      <c r="D213" s="244" t="s">
        <v>113</v>
      </c>
      <c r="E213" s="244" t="s">
        <v>113</v>
      </c>
      <c r="F213" s="244" t="s">
        <v>113</v>
      </c>
      <c r="G213" s="244" t="s">
        <v>113</v>
      </c>
      <c r="H213" s="252" t="s">
        <v>113</v>
      </c>
      <c r="I213" s="249" t="s">
        <v>113</v>
      </c>
    </row>
    <row r="214" spans="1:9" x14ac:dyDescent="0.3">
      <c r="A214" s="105" t="s">
        <v>144</v>
      </c>
      <c r="B214" s="20">
        <f>'RECEIPTS AND PAYMENT ANANLYSIS'!L9</f>
        <v>10100</v>
      </c>
      <c r="C214" s="20">
        <f>'RECEIPTS AND PAYMENT ANANLYSIS'!L10</f>
        <v>373</v>
      </c>
      <c r="D214" s="20">
        <f>SUM(B214:C214)</f>
        <v>10473</v>
      </c>
      <c r="E214" s="9">
        <f>D214*$E$10</f>
        <v>4189.2</v>
      </c>
      <c r="F214" s="9">
        <f>D214*$F$10</f>
        <v>942.56999999999994</v>
      </c>
      <c r="G214" s="9">
        <f>D214*$G$10</f>
        <v>1361.49</v>
      </c>
      <c r="H214" s="253">
        <f>SUM(E214:G214)</f>
        <v>6493.2599999999993</v>
      </c>
      <c r="I214" s="104">
        <f>D214*$I$10</f>
        <v>3979.7400000000002</v>
      </c>
    </row>
    <row r="215" spans="1:9" x14ac:dyDescent="0.3">
      <c r="A215" s="105" t="s">
        <v>141</v>
      </c>
      <c r="B215" s="20">
        <f>'RECEIPTS AND PAYMENT ANANLYSIS'!L8</f>
        <v>3419.4</v>
      </c>
      <c r="C215" s="10"/>
      <c r="D215" s="20">
        <f t="shared" ref="D215:D219" si="116">SUM(B215:C215)</f>
        <v>3419.4</v>
      </c>
      <c r="E215" s="9">
        <f t="shared" ref="E215:E219" si="117">D215*$E$10</f>
        <v>1367.7600000000002</v>
      </c>
      <c r="F215" s="9">
        <f t="shared" ref="F215:F219" si="118">D215*$F$10</f>
        <v>307.74599999999998</v>
      </c>
      <c r="G215" s="9">
        <f t="shared" ref="G215:G219" si="119">D215*$G$10</f>
        <v>444.52200000000005</v>
      </c>
      <c r="H215" s="253">
        <f t="shared" ref="H215:H219" si="120">SUM(E215:G215)</f>
        <v>2120.0280000000002</v>
      </c>
      <c r="I215" s="104">
        <f t="shared" ref="I215:I219" si="121">D215*$I$10</f>
        <v>1299.3720000000001</v>
      </c>
    </row>
    <row r="216" spans="1:9" x14ac:dyDescent="0.3">
      <c r="A216" s="105" t="s">
        <v>451</v>
      </c>
      <c r="B216" s="10"/>
      <c r="C216" s="10"/>
      <c r="D216" s="20">
        <f t="shared" si="116"/>
        <v>0</v>
      </c>
      <c r="E216" s="9">
        <f t="shared" si="117"/>
        <v>0</v>
      </c>
      <c r="F216" s="9">
        <f t="shared" si="118"/>
        <v>0</v>
      </c>
      <c r="G216" s="9">
        <f t="shared" si="119"/>
        <v>0</v>
      </c>
      <c r="H216" s="253">
        <f t="shared" si="120"/>
        <v>0</v>
      </c>
      <c r="I216" s="104">
        <f t="shared" si="121"/>
        <v>0</v>
      </c>
    </row>
    <row r="217" spans="1:9" x14ac:dyDescent="0.3">
      <c r="A217" s="105" t="s">
        <v>452</v>
      </c>
      <c r="B217" s="20">
        <f>'RECEIPTS AND PAYMENT ANANLYSIS'!L11</f>
        <v>400</v>
      </c>
      <c r="C217" s="10"/>
      <c r="D217" s="20">
        <f t="shared" si="116"/>
        <v>400</v>
      </c>
      <c r="E217" s="9">
        <f t="shared" si="117"/>
        <v>160</v>
      </c>
      <c r="F217" s="9">
        <f t="shared" si="118"/>
        <v>36</v>
      </c>
      <c r="G217" s="9">
        <f t="shared" si="119"/>
        <v>52</v>
      </c>
      <c r="H217" s="253">
        <f t="shared" si="120"/>
        <v>248</v>
      </c>
      <c r="I217" s="104">
        <f t="shared" si="121"/>
        <v>152</v>
      </c>
    </row>
    <row r="218" spans="1:9" x14ac:dyDescent="0.3">
      <c r="A218" s="105" t="s">
        <v>453</v>
      </c>
      <c r="B218" s="10"/>
      <c r="C218" s="10"/>
      <c r="D218" s="20">
        <f t="shared" si="116"/>
        <v>0</v>
      </c>
      <c r="E218" s="9">
        <f t="shared" si="117"/>
        <v>0</v>
      </c>
      <c r="F218" s="9">
        <f t="shared" si="118"/>
        <v>0</v>
      </c>
      <c r="G218" s="9">
        <f t="shared" si="119"/>
        <v>0</v>
      </c>
      <c r="H218" s="253">
        <f t="shared" si="120"/>
        <v>0</v>
      </c>
      <c r="I218" s="104">
        <f t="shared" si="121"/>
        <v>0</v>
      </c>
    </row>
    <row r="219" spans="1:9" x14ac:dyDescent="0.3">
      <c r="A219" s="105" t="s">
        <v>145</v>
      </c>
      <c r="B219" s="20">
        <f>'RECEIPTS AND PAYMENT ANANLYSIS'!L14</f>
        <v>0</v>
      </c>
      <c r="C219" s="10"/>
      <c r="D219" s="20">
        <f t="shared" si="116"/>
        <v>0</v>
      </c>
      <c r="E219" s="9">
        <f t="shared" si="117"/>
        <v>0</v>
      </c>
      <c r="F219" s="9">
        <f t="shared" si="118"/>
        <v>0</v>
      </c>
      <c r="G219" s="9">
        <f t="shared" si="119"/>
        <v>0</v>
      </c>
      <c r="H219" s="253">
        <f t="shared" si="120"/>
        <v>0</v>
      </c>
      <c r="I219" s="104">
        <f t="shared" si="121"/>
        <v>0</v>
      </c>
    </row>
    <row r="220" spans="1:9" ht="15" thickBot="1" x14ac:dyDescent="0.35">
      <c r="A220" s="151" t="s">
        <v>454</v>
      </c>
      <c r="B220" s="250">
        <f t="shared" ref="B220" si="122">SUM(B214:B219)</f>
        <v>13919.4</v>
      </c>
      <c r="C220" s="250">
        <f t="shared" ref="C220" si="123">SUM(C214:C219)</f>
        <v>373</v>
      </c>
      <c r="D220" s="250">
        <f>SUM(D214:D219)</f>
        <v>14292.4</v>
      </c>
      <c r="E220" s="250">
        <f t="shared" ref="E220" si="124">SUM(E214:E219)</f>
        <v>5716.96</v>
      </c>
      <c r="F220" s="250">
        <f t="shared" ref="F220" si="125">SUM(F214:F219)</f>
        <v>1286.3159999999998</v>
      </c>
      <c r="G220" s="250">
        <f t="shared" ref="G220:H220" si="126">SUM(G214:G219)</f>
        <v>1858.0120000000002</v>
      </c>
      <c r="H220" s="254">
        <f t="shared" si="126"/>
        <v>8861.2880000000005</v>
      </c>
      <c r="I220" s="251">
        <f t="shared" ref="I220" si="127">SUM(I214:I219)</f>
        <v>5431.1120000000001</v>
      </c>
    </row>
    <row r="222" spans="1:9" ht="15" thickBot="1" x14ac:dyDescent="0.35"/>
    <row r="223" spans="1:9" x14ac:dyDescent="0.3">
      <c r="A223" s="295" t="s">
        <v>136</v>
      </c>
      <c r="B223" s="296"/>
      <c r="C223" s="296"/>
      <c r="D223" s="296"/>
      <c r="E223" s="296"/>
      <c r="F223" s="296"/>
      <c r="G223" s="296"/>
      <c r="H223" s="296"/>
      <c r="I223" s="297"/>
    </row>
    <row r="224" spans="1:9" x14ac:dyDescent="0.3">
      <c r="A224" s="298" t="s">
        <v>461</v>
      </c>
      <c r="B224" s="299"/>
      <c r="C224" s="299"/>
      <c r="D224" s="299"/>
      <c r="E224" s="299"/>
      <c r="F224" s="299"/>
      <c r="G224" s="299"/>
      <c r="H224" s="299"/>
      <c r="I224" s="300"/>
    </row>
    <row r="225" spans="1:9" x14ac:dyDescent="0.3">
      <c r="A225" s="298" t="s">
        <v>462</v>
      </c>
      <c r="B225" s="299"/>
      <c r="C225" s="299"/>
      <c r="D225" s="299"/>
      <c r="E225" s="299"/>
      <c r="F225" s="299"/>
      <c r="G225" s="299"/>
      <c r="H225" s="299"/>
      <c r="I225" s="300"/>
    </row>
    <row r="226" spans="1:9" x14ac:dyDescent="0.3">
      <c r="A226" s="298" t="s">
        <v>463</v>
      </c>
      <c r="B226" s="299"/>
      <c r="C226" s="299"/>
      <c r="D226" s="299"/>
      <c r="E226" s="299"/>
      <c r="F226" s="299"/>
      <c r="G226" s="299"/>
      <c r="H226" s="299"/>
      <c r="I226" s="300"/>
    </row>
    <row r="227" spans="1:9" x14ac:dyDescent="0.3">
      <c r="A227" s="148"/>
      <c r="B227" s="142"/>
      <c r="C227" s="142"/>
      <c r="D227" s="142"/>
      <c r="E227" s="142"/>
      <c r="F227" s="142"/>
      <c r="G227" s="142"/>
      <c r="H227" s="142"/>
      <c r="I227" s="245"/>
    </row>
    <row r="228" spans="1:9" ht="20.399999999999999" customHeight="1" x14ac:dyDescent="0.3">
      <c r="A228" s="148" t="s">
        <v>457</v>
      </c>
      <c r="B228" s="142"/>
      <c r="C228" s="142" t="s">
        <v>458</v>
      </c>
      <c r="D228" s="142"/>
      <c r="E228" s="142"/>
      <c r="F228" s="142" t="s">
        <v>459</v>
      </c>
      <c r="G228" s="142" t="s">
        <v>128</v>
      </c>
      <c r="H228" s="142"/>
      <c r="I228" s="245"/>
    </row>
    <row r="229" spans="1:9" x14ac:dyDescent="0.3">
      <c r="A229" s="148" t="s">
        <v>468</v>
      </c>
      <c r="B229" s="142"/>
      <c r="C229" s="142"/>
      <c r="D229" s="142"/>
      <c r="E229" s="142"/>
      <c r="F229" s="142" t="s">
        <v>460</v>
      </c>
      <c r="G229" s="142"/>
      <c r="H229" s="142"/>
      <c r="I229" s="245"/>
    </row>
    <row r="230" spans="1:9" x14ac:dyDescent="0.3">
      <c r="A230" s="148"/>
      <c r="B230" s="142"/>
      <c r="C230" s="142"/>
      <c r="D230" s="142"/>
      <c r="E230" s="142"/>
      <c r="F230" s="142"/>
      <c r="G230" s="142"/>
      <c r="H230" s="142"/>
      <c r="I230" s="245"/>
    </row>
    <row r="231" spans="1:9" ht="21.6" customHeight="1" x14ac:dyDescent="0.3">
      <c r="A231" s="301" t="s">
        <v>450</v>
      </c>
      <c r="B231" s="302" t="s">
        <v>455</v>
      </c>
      <c r="C231" s="303" t="s">
        <v>456</v>
      </c>
      <c r="D231" s="303" t="s">
        <v>31</v>
      </c>
      <c r="E231" s="242" t="s">
        <v>464</v>
      </c>
      <c r="F231" s="242" t="s">
        <v>465</v>
      </c>
      <c r="G231" s="242" t="s">
        <v>466</v>
      </c>
      <c r="H231" s="304" t="s">
        <v>471</v>
      </c>
      <c r="I231" s="246" t="s">
        <v>467</v>
      </c>
    </row>
    <row r="232" spans="1:9" s="239" customFormat="1" ht="28.95" customHeight="1" x14ac:dyDescent="0.3">
      <c r="A232" s="301"/>
      <c r="B232" s="302"/>
      <c r="C232" s="303"/>
      <c r="D232" s="303"/>
      <c r="E232" s="243">
        <v>0.4</v>
      </c>
      <c r="F232" s="243">
        <v>0.09</v>
      </c>
      <c r="G232" s="243">
        <v>0.13</v>
      </c>
      <c r="H232" s="305"/>
      <c r="I232" s="247">
        <v>0.38</v>
      </c>
    </row>
    <row r="233" spans="1:9" s="239" customFormat="1" ht="28.95" customHeight="1" x14ac:dyDescent="0.3">
      <c r="A233" s="248"/>
      <c r="B233" s="244" t="s">
        <v>113</v>
      </c>
      <c r="C233" s="244" t="s">
        <v>113</v>
      </c>
      <c r="D233" s="244" t="s">
        <v>113</v>
      </c>
      <c r="E233" s="244" t="s">
        <v>113</v>
      </c>
      <c r="F233" s="244" t="s">
        <v>113</v>
      </c>
      <c r="G233" s="244" t="s">
        <v>113</v>
      </c>
      <c r="H233" s="252" t="s">
        <v>113</v>
      </c>
      <c r="I233" s="249" t="s">
        <v>113</v>
      </c>
    </row>
    <row r="234" spans="1:9" x14ac:dyDescent="0.3">
      <c r="A234" s="105" t="s">
        <v>144</v>
      </c>
      <c r="B234" s="20">
        <f>'RECEIPTS AND PAYMENT ANANLYSIS'!M9</f>
        <v>9715</v>
      </c>
      <c r="C234" s="20">
        <f>'RECEIPTS AND PAYMENT ANANLYSIS'!M10</f>
        <v>435</v>
      </c>
      <c r="D234" s="20">
        <f>SUM(B234:C234)</f>
        <v>10150</v>
      </c>
      <c r="E234" s="9">
        <f>D234*$E$10</f>
        <v>4060</v>
      </c>
      <c r="F234" s="9">
        <f>D234*$F$10</f>
        <v>913.5</v>
      </c>
      <c r="G234" s="9">
        <f>D234*$G$10</f>
        <v>1319.5</v>
      </c>
      <c r="H234" s="253">
        <f>SUM(E234:G234)</f>
        <v>6293</v>
      </c>
      <c r="I234" s="104">
        <f>D234*$I$10</f>
        <v>3857</v>
      </c>
    </row>
    <row r="235" spans="1:9" x14ac:dyDescent="0.3">
      <c r="A235" s="105" t="s">
        <v>141</v>
      </c>
      <c r="B235" s="20">
        <f>'RECEIPTS AND PAYMENT ANANLYSIS'!M8</f>
        <v>5076.7000000000007</v>
      </c>
      <c r="C235" s="10"/>
      <c r="D235" s="20">
        <f t="shared" ref="D235:D239" si="128">SUM(B235:C235)</f>
        <v>5076.7000000000007</v>
      </c>
      <c r="E235" s="9">
        <f t="shared" ref="E235:E239" si="129">D235*$E$10</f>
        <v>2030.6800000000003</v>
      </c>
      <c r="F235" s="9">
        <f t="shared" ref="F235:F239" si="130">D235*$F$10</f>
        <v>456.90300000000008</v>
      </c>
      <c r="G235" s="9">
        <f t="shared" ref="G235:G239" si="131">D235*$G$10</f>
        <v>659.97100000000012</v>
      </c>
      <c r="H235" s="253">
        <f t="shared" ref="H235:H239" si="132">SUM(E235:G235)</f>
        <v>3147.5540000000005</v>
      </c>
      <c r="I235" s="104">
        <f t="shared" ref="I235:I239" si="133">D235*$I$10</f>
        <v>1929.1460000000002</v>
      </c>
    </row>
    <row r="236" spans="1:9" x14ac:dyDescent="0.3">
      <c r="A236" s="105" t="s">
        <v>451</v>
      </c>
      <c r="B236" s="10"/>
      <c r="C236" s="10"/>
      <c r="D236" s="20">
        <f t="shared" si="128"/>
        <v>0</v>
      </c>
      <c r="E236" s="9">
        <f t="shared" si="129"/>
        <v>0</v>
      </c>
      <c r="F236" s="9">
        <f t="shared" si="130"/>
        <v>0</v>
      </c>
      <c r="G236" s="9">
        <f t="shared" si="131"/>
        <v>0</v>
      </c>
      <c r="H236" s="253">
        <f t="shared" si="132"/>
        <v>0</v>
      </c>
      <c r="I236" s="104">
        <f t="shared" si="133"/>
        <v>0</v>
      </c>
    </row>
    <row r="237" spans="1:9" x14ac:dyDescent="0.3">
      <c r="A237" s="105" t="s">
        <v>452</v>
      </c>
      <c r="B237" s="20">
        <f>'RECEIPTS AND PAYMENT ANANLYSIS'!M11</f>
        <v>1050</v>
      </c>
      <c r="C237" s="10"/>
      <c r="D237" s="20">
        <f t="shared" si="128"/>
        <v>1050</v>
      </c>
      <c r="E237" s="9">
        <f t="shared" si="129"/>
        <v>420</v>
      </c>
      <c r="F237" s="9">
        <f t="shared" si="130"/>
        <v>94.5</v>
      </c>
      <c r="G237" s="9">
        <f t="shared" si="131"/>
        <v>136.5</v>
      </c>
      <c r="H237" s="253">
        <f t="shared" si="132"/>
        <v>651</v>
      </c>
      <c r="I237" s="104">
        <f t="shared" si="133"/>
        <v>399</v>
      </c>
    </row>
    <row r="238" spans="1:9" x14ac:dyDescent="0.3">
      <c r="A238" s="105" t="s">
        <v>453</v>
      </c>
      <c r="B238" s="10"/>
      <c r="C238" s="10"/>
      <c r="D238" s="20">
        <f t="shared" si="128"/>
        <v>0</v>
      </c>
      <c r="E238" s="9">
        <f t="shared" si="129"/>
        <v>0</v>
      </c>
      <c r="F238" s="9">
        <f t="shared" si="130"/>
        <v>0</v>
      </c>
      <c r="G238" s="9">
        <f t="shared" si="131"/>
        <v>0</v>
      </c>
      <c r="H238" s="253">
        <f t="shared" si="132"/>
        <v>0</v>
      </c>
      <c r="I238" s="104">
        <f t="shared" si="133"/>
        <v>0</v>
      </c>
    </row>
    <row r="239" spans="1:9" x14ac:dyDescent="0.3">
      <c r="A239" s="105" t="s">
        <v>145</v>
      </c>
      <c r="B239" s="20">
        <f>'RECEIPTS AND PAYMENT ANANLYSIS'!M14</f>
        <v>191</v>
      </c>
      <c r="C239" s="10"/>
      <c r="D239" s="20">
        <f t="shared" si="128"/>
        <v>191</v>
      </c>
      <c r="E239" s="9">
        <f t="shared" si="129"/>
        <v>76.400000000000006</v>
      </c>
      <c r="F239" s="9">
        <f t="shared" si="130"/>
        <v>17.189999999999998</v>
      </c>
      <c r="G239" s="9">
        <f t="shared" si="131"/>
        <v>24.830000000000002</v>
      </c>
      <c r="H239" s="253">
        <f t="shared" si="132"/>
        <v>118.42</v>
      </c>
      <c r="I239" s="104">
        <f t="shared" si="133"/>
        <v>72.58</v>
      </c>
    </row>
    <row r="240" spans="1:9" ht="15" thickBot="1" x14ac:dyDescent="0.35">
      <c r="A240" s="151" t="s">
        <v>454</v>
      </c>
      <c r="B240" s="250">
        <f t="shared" ref="B240" si="134">SUM(B234:B239)</f>
        <v>16032.7</v>
      </c>
      <c r="C240" s="250">
        <f t="shared" ref="C240" si="135">SUM(C234:C239)</f>
        <v>435</v>
      </c>
      <c r="D240" s="250">
        <f>SUM(D234:D239)</f>
        <v>16467.7</v>
      </c>
      <c r="E240" s="250">
        <f t="shared" ref="E240" si="136">SUM(E234:E239)</f>
        <v>6587.08</v>
      </c>
      <c r="F240" s="250">
        <f t="shared" ref="F240" si="137">SUM(F234:F239)</f>
        <v>1482.0930000000001</v>
      </c>
      <c r="G240" s="250">
        <f t="shared" ref="G240:H240" si="138">SUM(G234:G239)</f>
        <v>2140.8009999999999</v>
      </c>
      <c r="H240" s="254">
        <f t="shared" si="138"/>
        <v>10209.974</v>
      </c>
      <c r="I240" s="251">
        <f t="shared" ref="I240" si="139">SUM(I234:I239)</f>
        <v>6257.7260000000006</v>
      </c>
    </row>
    <row r="242" spans="1:9" ht="15" thickBot="1" x14ac:dyDescent="0.35"/>
    <row r="243" spans="1:9" x14ac:dyDescent="0.3">
      <c r="A243" s="295" t="s">
        <v>136</v>
      </c>
      <c r="B243" s="296"/>
      <c r="C243" s="296"/>
      <c r="D243" s="296"/>
      <c r="E243" s="296"/>
      <c r="F243" s="296"/>
      <c r="G243" s="296"/>
      <c r="H243" s="296"/>
      <c r="I243" s="297"/>
    </row>
    <row r="244" spans="1:9" x14ac:dyDescent="0.3">
      <c r="A244" s="298" t="s">
        <v>461</v>
      </c>
      <c r="B244" s="299"/>
      <c r="C244" s="299"/>
      <c r="D244" s="299"/>
      <c r="E244" s="299"/>
      <c r="F244" s="299"/>
      <c r="G244" s="299"/>
      <c r="H244" s="299"/>
      <c r="I244" s="300"/>
    </row>
    <row r="245" spans="1:9" x14ac:dyDescent="0.3">
      <c r="A245" s="298" t="s">
        <v>462</v>
      </c>
      <c r="B245" s="299"/>
      <c r="C245" s="299"/>
      <c r="D245" s="299"/>
      <c r="E245" s="299"/>
      <c r="F245" s="299"/>
      <c r="G245" s="299"/>
      <c r="H245" s="299"/>
      <c r="I245" s="300"/>
    </row>
    <row r="246" spans="1:9" x14ac:dyDescent="0.3">
      <c r="A246" s="298" t="s">
        <v>463</v>
      </c>
      <c r="B246" s="299"/>
      <c r="C246" s="299"/>
      <c r="D246" s="299"/>
      <c r="E246" s="299"/>
      <c r="F246" s="299"/>
      <c r="G246" s="299"/>
      <c r="H246" s="299"/>
      <c r="I246" s="300"/>
    </row>
    <row r="247" spans="1:9" x14ac:dyDescent="0.3">
      <c r="A247" s="148"/>
      <c r="B247" s="142"/>
      <c r="C247" s="142"/>
      <c r="D247" s="142"/>
      <c r="E247" s="142"/>
      <c r="F247" s="142"/>
      <c r="G247" s="142"/>
      <c r="H247" s="142"/>
      <c r="I247" s="245"/>
    </row>
    <row r="248" spans="1:9" ht="20.399999999999999" customHeight="1" x14ac:dyDescent="0.3">
      <c r="A248" s="148" t="s">
        <v>457</v>
      </c>
      <c r="B248" s="142"/>
      <c r="C248" s="142" t="s">
        <v>458</v>
      </c>
      <c r="D248" s="142"/>
      <c r="E248" s="142"/>
      <c r="F248" s="142" t="s">
        <v>470</v>
      </c>
      <c r="G248" s="142"/>
      <c r="H248" s="142"/>
      <c r="I248" s="245"/>
    </row>
    <row r="249" spans="1:9" x14ac:dyDescent="0.3">
      <c r="A249" s="148" t="s">
        <v>468</v>
      </c>
      <c r="B249" s="142"/>
      <c r="C249" s="142"/>
      <c r="D249" s="142"/>
      <c r="E249" s="142"/>
      <c r="F249" s="142" t="s">
        <v>460</v>
      </c>
      <c r="G249" s="142"/>
      <c r="H249" s="142"/>
      <c r="I249" s="245"/>
    </row>
    <row r="250" spans="1:9" x14ac:dyDescent="0.3">
      <c r="A250" s="148"/>
      <c r="B250" s="142"/>
      <c r="C250" s="142"/>
      <c r="D250" s="142"/>
      <c r="E250" s="142"/>
      <c r="F250" s="142"/>
      <c r="G250" s="142"/>
      <c r="H250" s="142"/>
      <c r="I250" s="245"/>
    </row>
    <row r="251" spans="1:9" ht="21.6" customHeight="1" x14ac:dyDescent="0.3">
      <c r="A251" s="301" t="s">
        <v>450</v>
      </c>
      <c r="B251" s="302" t="s">
        <v>455</v>
      </c>
      <c r="C251" s="303" t="s">
        <v>456</v>
      </c>
      <c r="D251" s="303" t="s">
        <v>31</v>
      </c>
      <c r="E251" s="242" t="s">
        <v>464</v>
      </c>
      <c r="F251" s="242" t="s">
        <v>465</v>
      </c>
      <c r="G251" s="242" t="s">
        <v>466</v>
      </c>
      <c r="H251" s="304" t="s">
        <v>471</v>
      </c>
      <c r="I251" s="246" t="s">
        <v>467</v>
      </c>
    </row>
    <row r="252" spans="1:9" s="239" customFormat="1" ht="28.95" customHeight="1" x14ac:dyDescent="0.3">
      <c r="A252" s="301"/>
      <c r="B252" s="302"/>
      <c r="C252" s="303"/>
      <c r="D252" s="303"/>
      <c r="E252" s="243">
        <v>0.4</v>
      </c>
      <c r="F252" s="243">
        <v>0.09</v>
      </c>
      <c r="G252" s="243">
        <v>0.13</v>
      </c>
      <c r="H252" s="305"/>
      <c r="I252" s="247">
        <v>0.38</v>
      </c>
    </row>
    <row r="253" spans="1:9" s="239" customFormat="1" ht="28.95" customHeight="1" x14ac:dyDescent="0.3">
      <c r="A253" s="248"/>
      <c r="B253" s="244" t="s">
        <v>113</v>
      </c>
      <c r="C253" s="244" t="s">
        <v>113</v>
      </c>
      <c r="D253" s="244" t="s">
        <v>113</v>
      </c>
      <c r="E253" s="244" t="s">
        <v>113</v>
      </c>
      <c r="F253" s="244" t="s">
        <v>113</v>
      </c>
      <c r="G253" s="244" t="s">
        <v>113</v>
      </c>
      <c r="H253" s="252" t="s">
        <v>113</v>
      </c>
      <c r="I253" s="249" t="s">
        <v>113</v>
      </c>
    </row>
    <row r="254" spans="1:9" x14ac:dyDescent="0.3">
      <c r="A254" s="105" t="s">
        <v>144</v>
      </c>
      <c r="B254" s="9">
        <f>B234+B214+B194+B174+B154+B134+B113+B93+B72+B52+B32+B12</f>
        <v>96711</v>
      </c>
      <c r="C254" s="9">
        <f t="shared" ref="C254:D254" si="140">C234+C214+C194+C174+C154+C134+C113+C93+C72+C52+C32+C12</f>
        <v>2772.1</v>
      </c>
      <c r="D254" s="9">
        <f t="shared" si="140"/>
        <v>99483.1</v>
      </c>
      <c r="E254" s="9">
        <f>D254*$E$10</f>
        <v>39793.240000000005</v>
      </c>
      <c r="F254" s="9">
        <f>D254*$F$10</f>
        <v>8953.4789999999994</v>
      </c>
      <c r="G254" s="9">
        <f>D254*$G$10</f>
        <v>12932.803000000002</v>
      </c>
      <c r="H254" s="253">
        <f>SUM(E254:G254)</f>
        <v>61679.522000000004</v>
      </c>
      <c r="I254" s="104">
        <f>D254*$I$10</f>
        <v>37803.578000000001</v>
      </c>
    </row>
    <row r="255" spans="1:9" x14ac:dyDescent="0.3">
      <c r="A255" s="105" t="s">
        <v>141</v>
      </c>
      <c r="B255" s="9">
        <f t="shared" ref="B255:D259" si="141">B235+B215+B195+B175+B155+B135+B114+B94+B73+B53+B33+B13</f>
        <v>40490.499999999993</v>
      </c>
      <c r="C255" s="9">
        <f t="shared" si="141"/>
        <v>0</v>
      </c>
      <c r="D255" s="9">
        <f t="shared" si="141"/>
        <v>40490.499999999993</v>
      </c>
      <c r="E255" s="9">
        <f t="shared" ref="E255:E259" si="142">D255*$E$10</f>
        <v>16196.199999999997</v>
      </c>
      <c r="F255" s="9">
        <f t="shared" ref="F255:F259" si="143">D255*$F$10</f>
        <v>3644.1449999999991</v>
      </c>
      <c r="G255" s="9">
        <f t="shared" ref="G255:G259" si="144">D255*$G$10</f>
        <v>5263.7649999999994</v>
      </c>
      <c r="H255" s="253">
        <f t="shared" ref="H255:H259" si="145">SUM(E255:G255)</f>
        <v>25104.109999999997</v>
      </c>
      <c r="I255" s="104">
        <f t="shared" ref="I255:I259" si="146">D255*$I$10</f>
        <v>15386.389999999998</v>
      </c>
    </row>
    <row r="256" spans="1:9" x14ac:dyDescent="0.3">
      <c r="A256" s="105" t="s">
        <v>451</v>
      </c>
      <c r="B256" s="9">
        <f t="shared" si="141"/>
        <v>0</v>
      </c>
      <c r="C256" s="9">
        <f t="shared" si="141"/>
        <v>0</v>
      </c>
      <c r="D256" s="9">
        <f t="shared" si="141"/>
        <v>0</v>
      </c>
      <c r="E256" s="9">
        <f t="shared" si="142"/>
        <v>0</v>
      </c>
      <c r="F256" s="9">
        <f t="shared" si="143"/>
        <v>0</v>
      </c>
      <c r="G256" s="9">
        <f t="shared" si="144"/>
        <v>0</v>
      </c>
      <c r="H256" s="253">
        <f t="shared" si="145"/>
        <v>0</v>
      </c>
      <c r="I256" s="104">
        <f t="shared" si="146"/>
        <v>0</v>
      </c>
    </row>
    <row r="257" spans="1:9" x14ac:dyDescent="0.3">
      <c r="A257" s="105" t="s">
        <v>452</v>
      </c>
      <c r="B257" s="9">
        <f t="shared" si="141"/>
        <v>4490</v>
      </c>
      <c r="C257" s="9">
        <f t="shared" si="141"/>
        <v>0</v>
      </c>
      <c r="D257" s="9">
        <f t="shared" si="141"/>
        <v>4490</v>
      </c>
      <c r="E257" s="9">
        <f t="shared" si="142"/>
        <v>1796</v>
      </c>
      <c r="F257" s="9">
        <f t="shared" si="143"/>
        <v>404.09999999999997</v>
      </c>
      <c r="G257" s="9">
        <f t="shared" si="144"/>
        <v>583.70000000000005</v>
      </c>
      <c r="H257" s="253">
        <f t="shared" si="145"/>
        <v>2783.8</v>
      </c>
      <c r="I257" s="104">
        <f t="shared" si="146"/>
        <v>1706.2</v>
      </c>
    </row>
    <row r="258" spans="1:9" x14ac:dyDescent="0.3">
      <c r="A258" s="105" t="s">
        <v>453</v>
      </c>
      <c r="B258" s="9">
        <f t="shared" si="141"/>
        <v>0</v>
      </c>
      <c r="C258" s="9">
        <f t="shared" si="141"/>
        <v>0</v>
      </c>
      <c r="D258" s="9">
        <f t="shared" si="141"/>
        <v>0</v>
      </c>
      <c r="E258" s="9">
        <f t="shared" si="142"/>
        <v>0</v>
      </c>
      <c r="F258" s="9">
        <f t="shared" si="143"/>
        <v>0</v>
      </c>
      <c r="G258" s="9">
        <f t="shared" si="144"/>
        <v>0</v>
      </c>
      <c r="H258" s="253">
        <f t="shared" si="145"/>
        <v>0</v>
      </c>
      <c r="I258" s="104">
        <f t="shared" si="146"/>
        <v>0</v>
      </c>
    </row>
    <row r="259" spans="1:9" x14ac:dyDescent="0.3">
      <c r="A259" s="105" t="s">
        <v>145</v>
      </c>
      <c r="B259" s="9">
        <f t="shared" si="141"/>
        <v>893</v>
      </c>
      <c r="C259" s="9">
        <f t="shared" si="141"/>
        <v>0</v>
      </c>
      <c r="D259" s="9">
        <f t="shared" si="141"/>
        <v>893</v>
      </c>
      <c r="E259" s="9">
        <f t="shared" si="142"/>
        <v>357.20000000000005</v>
      </c>
      <c r="F259" s="9">
        <f t="shared" si="143"/>
        <v>80.36999999999999</v>
      </c>
      <c r="G259" s="9">
        <f t="shared" si="144"/>
        <v>116.09</v>
      </c>
      <c r="H259" s="253">
        <f t="shared" si="145"/>
        <v>553.66000000000008</v>
      </c>
      <c r="I259" s="104">
        <f t="shared" si="146"/>
        <v>339.34000000000003</v>
      </c>
    </row>
    <row r="260" spans="1:9" ht="15" thickBot="1" x14ac:dyDescent="0.35">
      <c r="A260" s="151" t="s">
        <v>454</v>
      </c>
      <c r="B260" s="250">
        <f t="shared" ref="B260" si="147">SUM(B254:B259)</f>
        <v>142584.5</v>
      </c>
      <c r="C260" s="250">
        <f t="shared" ref="C260" si="148">SUM(C254:C259)</f>
        <v>2772.1</v>
      </c>
      <c r="D260" s="250">
        <f>SUM(D254:D259)</f>
        <v>145356.6</v>
      </c>
      <c r="E260" s="250">
        <f t="shared" ref="E260" si="149">SUM(E254:E259)</f>
        <v>58142.64</v>
      </c>
      <c r="F260" s="250">
        <f t="shared" ref="F260" si="150">SUM(F254:F259)</f>
        <v>13082.093999999999</v>
      </c>
      <c r="G260" s="250">
        <f t="shared" ref="G260:H260" si="151">SUM(G254:G259)</f>
        <v>18896.358</v>
      </c>
      <c r="H260" s="254">
        <f t="shared" si="151"/>
        <v>90121.092000000004</v>
      </c>
      <c r="I260" s="251">
        <f t="shared" ref="I260" si="152">SUM(I254:I259)</f>
        <v>55235.507999999994</v>
      </c>
    </row>
    <row r="262" spans="1:9" x14ac:dyDescent="0.3">
      <c r="D262" s="3">
        <f>'RECEIPTS AND PAYMENT ANANLYSIS'!N8+'RECEIPTS AND PAYMENT ANANLYSIS'!N9+'RECEIPTS AND PAYMENT ANANLYSIS'!N10+'RECEIPTS AND PAYMENT ANANLYSIS'!N11+'RECEIPTS AND PAYMENT ANANLYSIS'!N14</f>
        <v>145356.6</v>
      </c>
    </row>
  </sheetData>
  <mergeCells count="117">
    <mergeCell ref="A243:I243"/>
    <mergeCell ref="A244:I244"/>
    <mergeCell ref="A245:I245"/>
    <mergeCell ref="A246:I246"/>
    <mergeCell ref="A251:A252"/>
    <mergeCell ref="B251:B252"/>
    <mergeCell ref="C251:C252"/>
    <mergeCell ref="D251:D252"/>
    <mergeCell ref="H251:H252"/>
    <mergeCell ref="A223:I223"/>
    <mergeCell ref="A224:I224"/>
    <mergeCell ref="A225:I225"/>
    <mergeCell ref="A226:I226"/>
    <mergeCell ref="A231:A232"/>
    <mergeCell ref="B231:B232"/>
    <mergeCell ref="C231:C232"/>
    <mergeCell ref="D231:D232"/>
    <mergeCell ref="H231:H232"/>
    <mergeCell ref="A203:I203"/>
    <mergeCell ref="A204:I204"/>
    <mergeCell ref="A205:I205"/>
    <mergeCell ref="A206:I206"/>
    <mergeCell ref="A211:A212"/>
    <mergeCell ref="B211:B212"/>
    <mergeCell ref="C211:C212"/>
    <mergeCell ref="D211:D212"/>
    <mergeCell ref="H211:H212"/>
    <mergeCell ref="A183:I183"/>
    <mergeCell ref="A184:I184"/>
    <mergeCell ref="A185:I185"/>
    <mergeCell ref="A186:I186"/>
    <mergeCell ref="A191:A192"/>
    <mergeCell ref="B191:B192"/>
    <mergeCell ref="C191:C192"/>
    <mergeCell ref="D191:D192"/>
    <mergeCell ref="H191:H192"/>
    <mergeCell ref="A163:I163"/>
    <mergeCell ref="A164:I164"/>
    <mergeCell ref="A165:I165"/>
    <mergeCell ref="A166:I166"/>
    <mergeCell ref="A171:A172"/>
    <mergeCell ref="B171:B172"/>
    <mergeCell ref="C171:C172"/>
    <mergeCell ref="D171:D172"/>
    <mergeCell ref="H171:H172"/>
    <mergeCell ref="A143:I143"/>
    <mergeCell ref="A144:I144"/>
    <mergeCell ref="A145:I145"/>
    <mergeCell ref="A146:I146"/>
    <mergeCell ref="A151:A152"/>
    <mergeCell ref="B151:B152"/>
    <mergeCell ref="C151:C152"/>
    <mergeCell ref="D151:D152"/>
    <mergeCell ref="H151:H152"/>
    <mergeCell ref="A123:I123"/>
    <mergeCell ref="A124:I124"/>
    <mergeCell ref="A125:I125"/>
    <mergeCell ref="A126:I126"/>
    <mergeCell ref="A131:A132"/>
    <mergeCell ref="B131:B132"/>
    <mergeCell ref="C131:C132"/>
    <mergeCell ref="D131:D132"/>
    <mergeCell ref="H131:H132"/>
    <mergeCell ref="A102:I102"/>
    <mergeCell ref="A103:I103"/>
    <mergeCell ref="A104:I104"/>
    <mergeCell ref="A105:I105"/>
    <mergeCell ref="A110:A111"/>
    <mergeCell ref="B110:B111"/>
    <mergeCell ref="C110:C111"/>
    <mergeCell ref="D110:D111"/>
    <mergeCell ref="H110:H111"/>
    <mergeCell ref="A82:I82"/>
    <mergeCell ref="A83:I83"/>
    <mergeCell ref="A84:I84"/>
    <mergeCell ref="A85:I85"/>
    <mergeCell ref="A90:A91"/>
    <mergeCell ref="B90:B91"/>
    <mergeCell ref="C90:C91"/>
    <mergeCell ref="D90:D91"/>
    <mergeCell ref="H90:H91"/>
    <mergeCell ref="A61:I61"/>
    <mergeCell ref="A62:I62"/>
    <mergeCell ref="A63:I63"/>
    <mergeCell ref="A64:I64"/>
    <mergeCell ref="A69:A70"/>
    <mergeCell ref="B69:B70"/>
    <mergeCell ref="C69:C70"/>
    <mergeCell ref="D69:D70"/>
    <mergeCell ref="H69:H70"/>
    <mergeCell ref="A41:I41"/>
    <mergeCell ref="A42:I42"/>
    <mergeCell ref="A43:I43"/>
    <mergeCell ref="A44:I44"/>
    <mergeCell ref="A49:A50"/>
    <mergeCell ref="B49:B50"/>
    <mergeCell ref="C49:C50"/>
    <mergeCell ref="D49:D50"/>
    <mergeCell ref="H49:H50"/>
    <mergeCell ref="A1:I1"/>
    <mergeCell ref="A2:I2"/>
    <mergeCell ref="A3:I3"/>
    <mergeCell ref="A4:I4"/>
    <mergeCell ref="A23:I23"/>
    <mergeCell ref="A24:I24"/>
    <mergeCell ref="A29:A30"/>
    <mergeCell ref="B29:B30"/>
    <mergeCell ref="C29:C30"/>
    <mergeCell ref="D29:D30"/>
    <mergeCell ref="H29:H30"/>
    <mergeCell ref="B9:B10"/>
    <mergeCell ref="C9:C10"/>
    <mergeCell ref="D9:D10"/>
    <mergeCell ref="A9:A10"/>
    <mergeCell ref="A21:I21"/>
    <mergeCell ref="A22:I22"/>
    <mergeCell ref="H9:H10"/>
  </mergeCells>
  <pageMargins left="0.7" right="0.7" top="0.75" bottom="0.75" header="0.3" footer="0.3"/>
  <pageSetup orientation="landscape" r:id="rId1"/>
  <rowBreaks count="12" manualBreakCount="12">
    <brk id="19" max="16383" man="1"/>
    <brk id="38" max="16383" man="1"/>
    <brk id="59" max="16383" man="1"/>
    <brk id="79" max="16383" man="1"/>
    <brk id="100" max="16383" man="1"/>
    <brk id="120" max="16383" man="1"/>
    <brk id="141" max="16383" man="1"/>
    <brk id="161" max="16383" man="1"/>
    <brk id="181" max="16383" man="1"/>
    <brk id="201" max="16383" man="1"/>
    <brk id="220" max="16383" man="1"/>
    <brk id="24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4" zoomScaleNormal="100" workbookViewId="0">
      <selection activeCell="I11" sqref="I11"/>
    </sheetView>
  </sheetViews>
  <sheetFormatPr defaultRowHeight="14.4" x14ac:dyDescent="0.3"/>
  <cols>
    <col min="1" max="1" width="21.6640625" customWidth="1"/>
    <col min="2" max="2" width="31.109375" customWidth="1"/>
    <col min="3" max="3" width="15.109375" customWidth="1"/>
    <col min="4" max="4" width="15.44140625" customWidth="1"/>
    <col min="5" max="5" width="10.6640625" customWidth="1"/>
    <col min="7" max="7" width="32.109375" customWidth="1"/>
    <col min="8" max="10" width="14.88671875" customWidth="1"/>
    <col min="11" max="11" width="13.44140625" customWidth="1"/>
    <col min="12" max="12" width="10.6640625" customWidth="1"/>
  </cols>
  <sheetData>
    <row r="1" spans="1:11" ht="26.25" customHeight="1" x14ac:dyDescent="0.3">
      <c r="A1" s="306" t="s">
        <v>275</v>
      </c>
      <c r="B1" s="306"/>
      <c r="C1" s="306"/>
      <c r="D1" s="306"/>
      <c r="E1" s="75"/>
      <c r="G1" s="307" t="s">
        <v>305</v>
      </c>
      <c r="H1" s="308"/>
      <c r="I1" s="308"/>
      <c r="J1" s="309"/>
    </row>
    <row r="2" spans="1:11" ht="26.25" customHeight="1" x14ac:dyDescent="0.3">
      <c r="A2" s="135" t="s">
        <v>276</v>
      </c>
      <c r="B2" s="126"/>
      <c r="C2" s="126"/>
      <c r="D2" s="126">
        <v>155306</v>
      </c>
      <c r="E2" s="75"/>
      <c r="G2" s="310" t="s">
        <v>306</v>
      </c>
      <c r="H2" s="311"/>
      <c r="I2" s="311"/>
      <c r="J2" s="312"/>
    </row>
    <row r="3" spans="1:11" ht="26.25" customHeight="1" x14ac:dyDescent="0.3">
      <c r="A3" s="138" t="s">
        <v>277</v>
      </c>
      <c r="B3" s="126" t="s">
        <v>278</v>
      </c>
      <c r="C3" s="126">
        <v>40356</v>
      </c>
      <c r="D3" s="126"/>
      <c r="E3" s="75"/>
      <c r="G3" s="139"/>
      <c r="H3" s="140" t="s">
        <v>230</v>
      </c>
      <c r="I3" s="140" t="s">
        <v>298</v>
      </c>
      <c r="J3" s="141" t="s">
        <v>132</v>
      </c>
    </row>
    <row r="4" spans="1:11" ht="26.25" customHeight="1" x14ac:dyDescent="0.3">
      <c r="A4" s="135"/>
      <c r="B4" s="126" t="s">
        <v>279</v>
      </c>
      <c r="C4" s="126">
        <v>40000</v>
      </c>
      <c r="D4" s="126"/>
      <c r="E4" s="75"/>
      <c r="G4" s="139"/>
      <c r="H4" s="142"/>
      <c r="I4" s="140" t="s">
        <v>113</v>
      </c>
      <c r="J4" s="141" t="s">
        <v>113</v>
      </c>
    </row>
    <row r="5" spans="1:11" ht="26.25" customHeight="1" x14ac:dyDescent="0.3">
      <c r="A5" s="135"/>
      <c r="B5" s="126" t="s">
        <v>280</v>
      </c>
      <c r="C5" s="126">
        <v>22500</v>
      </c>
      <c r="D5" s="126"/>
      <c r="E5" s="75"/>
      <c r="G5" s="105" t="s">
        <v>293</v>
      </c>
      <c r="H5" s="129">
        <v>150</v>
      </c>
      <c r="I5" s="9">
        <v>90</v>
      </c>
      <c r="J5" s="104">
        <f>+H5*I5</f>
        <v>13500</v>
      </c>
    </row>
    <row r="6" spans="1:11" ht="26.25" customHeight="1" x14ac:dyDescent="0.3">
      <c r="A6" s="135"/>
      <c r="B6" s="126" t="s">
        <v>289</v>
      </c>
      <c r="C6" s="137">
        <f>SUM(C3:C5)</f>
        <v>102856</v>
      </c>
      <c r="D6" s="126"/>
      <c r="E6" s="75"/>
      <c r="G6" s="105" t="s">
        <v>294</v>
      </c>
      <c r="H6" s="129">
        <v>1</v>
      </c>
      <c r="I6" s="9">
        <v>2000</v>
      </c>
      <c r="J6" s="104">
        <f t="shared" ref="J6:J12" si="0">+H6*I6</f>
        <v>2000</v>
      </c>
      <c r="K6">
        <v>1400</v>
      </c>
    </row>
    <row r="7" spans="1:11" ht="26.25" customHeight="1" x14ac:dyDescent="0.3">
      <c r="A7" s="135"/>
      <c r="B7" s="126" t="s">
        <v>281</v>
      </c>
      <c r="C7" s="126">
        <v>-7500</v>
      </c>
      <c r="D7" s="136" t="s">
        <v>286</v>
      </c>
      <c r="E7" s="75"/>
      <c r="G7" s="105" t="s">
        <v>295</v>
      </c>
      <c r="H7" s="129">
        <v>2</v>
      </c>
      <c r="I7" s="9">
        <v>2600</v>
      </c>
      <c r="J7" s="104">
        <f t="shared" si="0"/>
        <v>5200</v>
      </c>
      <c r="K7">
        <v>2400</v>
      </c>
    </row>
    <row r="8" spans="1:11" ht="26.25" customHeight="1" x14ac:dyDescent="0.3">
      <c r="A8" s="135"/>
      <c r="B8" s="126"/>
      <c r="C8" s="137">
        <f>SUM(C6:C7)</f>
        <v>95356</v>
      </c>
      <c r="D8" s="126"/>
      <c r="E8" s="75"/>
      <c r="G8" s="105" t="s">
        <v>296</v>
      </c>
      <c r="H8" s="129">
        <v>1</v>
      </c>
      <c r="I8" s="9">
        <v>4800</v>
      </c>
      <c r="J8" s="104">
        <f t="shared" si="0"/>
        <v>4800</v>
      </c>
    </row>
    <row r="9" spans="1:11" ht="26.25" customHeight="1" x14ac:dyDescent="0.3">
      <c r="A9" s="135"/>
      <c r="B9" s="126" t="s">
        <v>290</v>
      </c>
      <c r="C9" s="126">
        <v>-7000</v>
      </c>
      <c r="D9" s="126" t="s">
        <v>285</v>
      </c>
      <c r="E9" s="126" t="s">
        <v>288</v>
      </c>
      <c r="G9" s="105" t="s">
        <v>299</v>
      </c>
      <c r="H9" s="129">
        <v>5</v>
      </c>
      <c r="I9" s="9">
        <v>600</v>
      </c>
      <c r="J9" s="104">
        <f t="shared" si="0"/>
        <v>3000</v>
      </c>
    </row>
    <row r="10" spans="1:11" ht="26.25" customHeight="1" x14ac:dyDescent="0.3">
      <c r="A10" s="135"/>
      <c r="B10" s="126" t="s">
        <v>282</v>
      </c>
      <c r="C10" s="126">
        <v>-1000</v>
      </c>
      <c r="D10" s="126" t="s">
        <v>285</v>
      </c>
      <c r="E10" s="126" t="s">
        <v>288</v>
      </c>
      <c r="G10" s="105" t="s">
        <v>250</v>
      </c>
      <c r="H10" s="129">
        <v>2</v>
      </c>
      <c r="I10" s="9">
        <v>200</v>
      </c>
      <c r="J10" s="104">
        <f t="shared" si="0"/>
        <v>400</v>
      </c>
    </row>
    <row r="11" spans="1:11" ht="26.25" customHeight="1" x14ac:dyDescent="0.3">
      <c r="A11" s="135"/>
      <c r="B11" s="126" t="s">
        <v>291</v>
      </c>
      <c r="C11" s="126">
        <v>-500</v>
      </c>
      <c r="D11" s="126" t="s">
        <v>285</v>
      </c>
      <c r="E11" s="126" t="s">
        <v>288</v>
      </c>
      <c r="G11" s="143" t="s">
        <v>300</v>
      </c>
      <c r="H11" s="129">
        <v>2</v>
      </c>
      <c r="I11" s="9">
        <v>500</v>
      </c>
      <c r="J11" s="104">
        <f t="shared" si="0"/>
        <v>1000</v>
      </c>
    </row>
    <row r="12" spans="1:11" ht="26.25" customHeight="1" x14ac:dyDescent="0.3">
      <c r="A12" s="135"/>
      <c r="B12" s="126" t="s">
        <v>292</v>
      </c>
      <c r="C12" s="126">
        <v>-9000</v>
      </c>
      <c r="D12" s="126" t="s">
        <v>285</v>
      </c>
      <c r="E12" s="75"/>
      <c r="G12" s="143" t="s">
        <v>303</v>
      </c>
      <c r="H12" s="129">
        <v>1</v>
      </c>
      <c r="I12" s="9">
        <v>1500</v>
      </c>
      <c r="J12" s="104">
        <f t="shared" si="0"/>
        <v>1500</v>
      </c>
    </row>
    <row r="13" spans="1:11" ht="26.25" customHeight="1" x14ac:dyDescent="0.3">
      <c r="A13" s="135"/>
      <c r="B13" s="126"/>
      <c r="C13" s="126"/>
      <c r="D13" s="126"/>
      <c r="E13" s="154"/>
      <c r="G13" s="105"/>
      <c r="H13" s="10"/>
      <c r="I13" s="10"/>
      <c r="J13" s="144">
        <f>SUM(J5:J12)</f>
        <v>31400</v>
      </c>
    </row>
    <row r="14" spans="1:11" ht="26.25" customHeight="1" x14ac:dyDescent="0.3">
      <c r="A14" s="135"/>
      <c r="B14" s="126"/>
      <c r="C14" s="126"/>
      <c r="D14" s="126"/>
      <c r="E14" s="75"/>
      <c r="G14" s="139"/>
      <c r="H14" s="145"/>
      <c r="I14" s="145"/>
      <c r="J14" s="146"/>
    </row>
    <row r="15" spans="1:11" ht="26.25" customHeight="1" x14ac:dyDescent="0.3">
      <c r="A15" s="135"/>
      <c r="B15" s="126" t="s">
        <v>283</v>
      </c>
      <c r="C15" s="126"/>
      <c r="D15" s="126">
        <f>+C8</f>
        <v>95356</v>
      </c>
      <c r="E15" s="75"/>
      <c r="G15" s="143" t="s">
        <v>301</v>
      </c>
      <c r="H15" s="10"/>
      <c r="I15" s="10"/>
      <c r="J15" s="104">
        <v>102590</v>
      </c>
    </row>
    <row r="16" spans="1:11" ht="26.25" customHeight="1" x14ac:dyDescent="0.3">
      <c r="A16" s="135"/>
      <c r="B16" s="126" t="s">
        <v>284</v>
      </c>
      <c r="C16" s="126"/>
      <c r="D16" s="126">
        <f>-C7-C9-C10-C11-C12</f>
        <v>25000</v>
      </c>
      <c r="E16" s="75"/>
      <c r="G16" s="105" t="s">
        <v>302</v>
      </c>
      <c r="H16" s="10"/>
      <c r="I16" s="10"/>
      <c r="J16" s="104">
        <v>-95356</v>
      </c>
    </row>
    <row r="17" spans="1:12" ht="26.25" customHeight="1" x14ac:dyDescent="0.3">
      <c r="A17" s="135"/>
      <c r="B17" s="126"/>
      <c r="C17" s="126"/>
      <c r="D17" s="126"/>
      <c r="E17" s="75"/>
      <c r="G17" s="105" t="s">
        <v>297</v>
      </c>
      <c r="H17" s="10"/>
      <c r="I17" s="10"/>
      <c r="J17" s="147">
        <f>SUM(J15:J16)</f>
        <v>7234</v>
      </c>
    </row>
    <row r="18" spans="1:12" ht="26.25" customHeight="1" x14ac:dyDescent="0.3">
      <c r="A18" s="135"/>
      <c r="B18" s="126"/>
      <c r="C18" s="126"/>
      <c r="D18" s="126">
        <f>SUM(D15:D17)</f>
        <v>120356</v>
      </c>
      <c r="E18" s="75"/>
      <c r="G18" s="139"/>
      <c r="H18" s="145"/>
      <c r="I18" s="145"/>
      <c r="J18" s="146"/>
    </row>
    <row r="19" spans="1:12" ht="26.25" customHeight="1" x14ac:dyDescent="0.3">
      <c r="A19" s="135"/>
      <c r="B19" s="126"/>
      <c r="C19" s="126"/>
      <c r="D19" s="126"/>
      <c r="E19" s="75"/>
      <c r="G19" s="148" t="s">
        <v>304</v>
      </c>
      <c r="H19" s="142"/>
      <c r="I19" s="142"/>
      <c r="J19" s="149">
        <f>+J13+J17</f>
        <v>38634</v>
      </c>
      <c r="K19">
        <v>37134</v>
      </c>
      <c r="L19" s="3">
        <f>+J19-K19</f>
        <v>1500</v>
      </c>
    </row>
    <row r="20" spans="1:12" ht="26.25" customHeight="1" x14ac:dyDescent="0.3">
      <c r="A20" s="135"/>
      <c r="B20" s="126" t="s">
        <v>287</v>
      </c>
      <c r="C20" s="126"/>
      <c r="D20" s="126">
        <f>+D2-D18</f>
        <v>34950</v>
      </c>
      <c r="E20" s="75"/>
      <c r="G20" s="105" t="s">
        <v>309</v>
      </c>
      <c r="H20" s="10"/>
      <c r="I20" s="10"/>
      <c r="J20" s="150"/>
    </row>
    <row r="21" spans="1:12" ht="23.25" customHeight="1" x14ac:dyDescent="0.3">
      <c r="G21" s="105"/>
      <c r="H21" s="10" t="s">
        <v>266</v>
      </c>
      <c r="I21" s="9">
        <v>200</v>
      </c>
      <c r="J21" s="150"/>
    </row>
    <row r="22" spans="1:12" ht="23.25" customHeight="1" x14ac:dyDescent="0.3">
      <c r="G22" s="105"/>
      <c r="H22" s="10" t="s">
        <v>186</v>
      </c>
      <c r="I22" s="9">
        <v>38644</v>
      </c>
      <c r="J22" s="150"/>
    </row>
    <row r="23" spans="1:12" ht="23.25" customHeight="1" x14ac:dyDescent="0.3">
      <c r="G23" s="105"/>
      <c r="H23" s="10" t="s">
        <v>118</v>
      </c>
      <c r="I23" s="9">
        <v>1396.9</v>
      </c>
      <c r="J23" s="106">
        <f>-SUM(I21:I23)</f>
        <v>-40240.9</v>
      </c>
    </row>
    <row r="24" spans="1:12" ht="23.25" customHeight="1" x14ac:dyDescent="0.3">
      <c r="G24" s="105"/>
      <c r="H24" s="10"/>
      <c r="I24" s="10"/>
      <c r="J24" s="150"/>
    </row>
    <row r="25" spans="1:12" ht="23.25" customHeight="1" thickBot="1" x14ac:dyDescent="0.35">
      <c r="G25" s="151" t="s">
        <v>308</v>
      </c>
      <c r="H25" s="152"/>
      <c r="I25" s="152"/>
      <c r="J25" s="153">
        <f>SUM(J19:J24)</f>
        <v>-1606.9000000000015</v>
      </c>
    </row>
  </sheetData>
  <mergeCells count="3">
    <mergeCell ref="A1:D1"/>
    <mergeCell ref="G1:J1"/>
    <mergeCell ref="G2:J2"/>
  </mergeCells>
  <pageMargins left="0.7" right="0.7" top="0.75" bottom="0.75" header="0.3" footer="0.3"/>
  <pageSetup scale="9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3" sqref="A3:C17"/>
    </sheetView>
  </sheetViews>
  <sheetFormatPr defaultRowHeight="14.4" x14ac:dyDescent="0.3"/>
  <cols>
    <col min="1" max="1" width="34.44140625" customWidth="1"/>
    <col min="3" max="3" width="14.88671875" customWidth="1"/>
  </cols>
  <sheetData>
    <row r="1" spans="1:3" x14ac:dyDescent="0.3">
      <c r="A1" s="314" t="s">
        <v>305</v>
      </c>
      <c r="B1" s="314"/>
      <c r="C1" s="314"/>
    </row>
    <row r="3" spans="1:3" x14ac:dyDescent="0.3">
      <c r="A3" s="313" t="s">
        <v>6</v>
      </c>
      <c r="B3" s="313"/>
      <c r="C3" s="313"/>
    </row>
    <row r="4" spans="1:3" x14ac:dyDescent="0.3">
      <c r="A4" s="176"/>
      <c r="B4" s="175"/>
      <c r="C4" s="238" t="s">
        <v>113</v>
      </c>
    </row>
    <row r="5" spans="1:3" x14ac:dyDescent="0.3">
      <c r="A5" s="176" t="s">
        <v>110</v>
      </c>
      <c r="B5" s="175"/>
      <c r="C5" s="175">
        <f>+'weekly income statement'!O54</f>
        <v>4704.5</v>
      </c>
    </row>
    <row r="6" spans="1:3" x14ac:dyDescent="0.3">
      <c r="A6" s="176"/>
      <c r="B6" s="175"/>
      <c r="C6" s="175"/>
    </row>
    <row r="7" spans="1:3" x14ac:dyDescent="0.3">
      <c r="A7" s="176" t="s">
        <v>114</v>
      </c>
      <c r="B7" s="175"/>
      <c r="C7" s="175"/>
    </row>
    <row r="8" spans="1:3" x14ac:dyDescent="0.3">
      <c r="A8" s="176" t="s">
        <v>429</v>
      </c>
      <c r="B8" s="175"/>
      <c r="C8" s="175">
        <v>200</v>
      </c>
    </row>
    <row r="9" spans="1:3" x14ac:dyDescent="0.3">
      <c r="A9" s="176" t="s">
        <v>430</v>
      </c>
      <c r="B9" s="175"/>
      <c r="C9" s="175">
        <v>200</v>
      </c>
    </row>
    <row r="10" spans="1:3" x14ac:dyDescent="0.3">
      <c r="A10" s="176" t="s">
        <v>431</v>
      </c>
      <c r="B10" s="175"/>
      <c r="C10" s="175">
        <v>300</v>
      </c>
    </row>
    <row r="11" spans="1:3" x14ac:dyDescent="0.3">
      <c r="A11" s="176" t="s">
        <v>432</v>
      </c>
      <c r="B11" s="175"/>
      <c r="C11" s="175">
        <v>200</v>
      </c>
    </row>
    <row r="12" spans="1:3" x14ac:dyDescent="0.3">
      <c r="A12" s="176" t="s">
        <v>441</v>
      </c>
      <c r="B12" s="175"/>
      <c r="C12" s="175">
        <v>500</v>
      </c>
    </row>
    <row r="13" spans="1:3" x14ac:dyDescent="0.3">
      <c r="A13" s="176" t="s">
        <v>442</v>
      </c>
      <c r="B13" s="175"/>
      <c r="C13" s="175">
        <v>200</v>
      </c>
    </row>
    <row r="14" spans="1:3" x14ac:dyDescent="0.3">
      <c r="A14" s="176"/>
      <c r="B14" s="175"/>
      <c r="C14" s="175">
        <v>0</v>
      </c>
    </row>
    <row r="15" spans="1:3" x14ac:dyDescent="0.3">
      <c r="A15" s="237"/>
      <c r="B15" s="175"/>
      <c r="C15" s="175">
        <f>SUM(C8:C14)</f>
        <v>1600</v>
      </c>
    </row>
    <row r="16" spans="1:3" x14ac:dyDescent="0.3">
      <c r="A16" s="237"/>
      <c r="B16" s="175"/>
      <c r="C16" s="175"/>
    </row>
    <row r="17" spans="1:3" x14ac:dyDescent="0.3">
      <c r="A17" s="176" t="s">
        <v>433</v>
      </c>
      <c r="B17" s="175"/>
      <c r="C17" s="175">
        <f>+C5-C15</f>
        <v>3104.5</v>
      </c>
    </row>
  </sheetData>
  <mergeCells count="2">
    <mergeCell ref="A3:C3"/>
    <mergeCell ref="A1:C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J12" sqref="J12"/>
    </sheetView>
  </sheetViews>
  <sheetFormatPr defaultRowHeight="14.4" x14ac:dyDescent="0.3"/>
  <cols>
    <col min="2" max="2" width="17" customWidth="1"/>
    <col min="3" max="3" width="37" customWidth="1"/>
    <col min="4" max="4" width="13" customWidth="1"/>
    <col min="5" max="5" width="15.44140625" style="1" customWidth="1"/>
  </cols>
  <sheetData>
    <row r="1" spans="1:12" ht="21.75" customHeight="1" x14ac:dyDescent="0.3">
      <c r="A1" s="315" t="s">
        <v>201</v>
      </c>
      <c r="B1" s="315"/>
      <c r="C1" s="315"/>
      <c r="D1" s="315"/>
      <c r="E1" s="315"/>
    </row>
    <row r="2" spans="1:12" ht="21.75" customHeight="1" x14ac:dyDescent="0.3">
      <c r="A2" s="78" t="s">
        <v>33</v>
      </c>
      <c r="B2" s="78" t="s">
        <v>115</v>
      </c>
      <c r="C2" s="78" t="s">
        <v>116</v>
      </c>
      <c r="D2" s="78" t="s">
        <v>202</v>
      </c>
      <c r="E2" s="81" t="s">
        <v>132</v>
      </c>
    </row>
    <row r="3" spans="1:12" ht="21" customHeight="1" x14ac:dyDescent="0.3">
      <c r="A3" s="10"/>
      <c r="B3" s="10"/>
      <c r="C3" s="10"/>
      <c r="D3" s="10"/>
      <c r="E3" s="81" t="s">
        <v>113</v>
      </c>
    </row>
    <row r="4" spans="1:12" ht="21" customHeight="1" x14ac:dyDescent="0.3">
      <c r="A4" s="51">
        <v>1</v>
      </c>
      <c r="B4" s="10"/>
      <c r="C4" s="10" t="s">
        <v>206</v>
      </c>
      <c r="D4" s="10"/>
      <c r="E4" s="9">
        <v>600</v>
      </c>
    </row>
    <row r="5" spans="1:12" ht="21" customHeight="1" x14ac:dyDescent="0.3">
      <c r="A5" s="10"/>
      <c r="B5" s="10"/>
      <c r="C5" s="10" t="s">
        <v>208</v>
      </c>
      <c r="D5" s="10"/>
      <c r="E5" s="9">
        <v>1250</v>
      </c>
    </row>
    <row r="6" spans="1:12" ht="21" customHeight="1" x14ac:dyDescent="0.3">
      <c r="A6" s="10"/>
      <c r="B6" s="10"/>
      <c r="C6" s="10" t="s">
        <v>214</v>
      </c>
      <c r="D6" s="10"/>
      <c r="E6" s="9">
        <v>9000</v>
      </c>
      <c r="J6">
        <v>1600</v>
      </c>
      <c r="L6">
        <v>1550</v>
      </c>
    </row>
    <row r="7" spans="1:12" ht="21" customHeight="1" x14ac:dyDescent="0.3">
      <c r="A7" s="10"/>
      <c r="B7" s="10"/>
      <c r="C7" s="10" t="s">
        <v>218</v>
      </c>
      <c r="D7" s="10"/>
      <c r="E7" s="9">
        <v>100</v>
      </c>
      <c r="J7">
        <v>40</v>
      </c>
      <c r="L7">
        <v>-900</v>
      </c>
    </row>
    <row r="8" spans="1:12" ht="21" customHeight="1" x14ac:dyDescent="0.3">
      <c r="A8" s="10"/>
      <c r="B8" s="10"/>
      <c r="C8" s="10" t="s">
        <v>220</v>
      </c>
      <c r="D8" s="10"/>
      <c r="E8" s="9">
        <v>1200</v>
      </c>
      <c r="J8">
        <v>200</v>
      </c>
      <c r="L8">
        <f>SUM(L6:L7)</f>
        <v>650</v>
      </c>
    </row>
    <row r="9" spans="1:12" ht="21" customHeight="1" x14ac:dyDescent="0.3">
      <c r="A9" s="10"/>
      <c r="B9" s="10"/>
      <c r="C9" s="10" t="s">
        <v>221</v>
      </c>
      <c r="D9" s="10"/>
      <c r="E9" s="9">
        <v>100</v>
      </c>
      <c r="J9">
        <v>100</v>
      </c>
    </row>
    <row r="10" spans="1:12" ht="21" customHeight="1" x14ac:dyDescent="0.3">
      <c r="A10" s="10"/>
      <c r="B10" s="10"/>
      <c r="C10" s="10" t="s">
        <v>222</v>
      </c>
      <c r="D10" s="10"/>
      <c r="E10" s="9">
        <v>144</v>
      </c>
      <c r="J10">
        <v>50</v>
      </c>
    </row>
    <row r="11" spans="1:12" ht="21" customHeight="1" x14ac:dyDescent="0.3">
      <c r="A11" s="10"/>
      <c r="B11" s="118"/>
      <c r="C11" s="10" t="s">
        <v>223</v>
      </c>
      <c r="D11" s="10"/>
      <c r="E11" s="9">
        <v>150</v>
      </c>
      <c r="K11">
        <v>600</v>
      </c>
    </row>
    <row r="12" spans="1:12" ht="21" customHeight="1" x14ac:dyDescent="0.3">
      <c r="A12" s="10"/>
      <c r="B12" s="118"/>
      <c r="C12" s="10" t="s">
        <v>225</v>
      </c>
      <c r="D12" s="10"/>
      <c r="E12" s="9">
        <v>540</v>
      </c>
      <c r="J12">
        <f>SUM(J6:J11)</f>
        <v>1990</v>
      </c>
    </row>
    <row r="13" spans="1:12" ht="21" customHeight="1" x14ac:dyDescent="0.3">
      <c r="A13" s="10"/>
      <c r="B13" s="118"/>
      <c r="C13" s="10" t="s">
        <v>226</v>
      </c>
      <c r="D13" s="10"/>
      <c r="E13" s="9">
        <f>550*15</f>
        <v>8250</v>
      </c>
    </row>
    <row r="14" spans="1:12" ht="21" customHeight="1" x14ac:dyDescent="0.3">
      <c r="A14" s="10"/>
      <c r="B14" s="10"/>
      <c r="C14" s="10" t="s">
        <v>227</v>
      </c>
      <c r="D14" s="10"/>
      <c r="E14" s="9">
        <v>615</v>
      </c>
    </row>
    <row r="15" spans="1:12" ht="21" customHeight="1" x14ac:dyDescent="0.3">
      <c r="A15" s="10"/>
      <c r="B15" s="10"/>
      <c r="C15" s="10"/>
      <c r="D15" s="10"/>
      <c r="E15" s="9"/>
    </row>
    <row r="16" spans="1:12" ht="21" customHeight="1" x14ac:dyDescent="0.3">
      <c r="A16" s="10"/>
      <c r="B16" s="10"/>
      <c r="C16" s="10"/>
      <c r="D16" s="10"/>
      <c r="E16" s="9"/>
    </row>
    <row r="17" spans="1:5" ht="21" customHeight="1" x14ac:dyDescent="0.3">
      <c r="A17" s="10"/>
      <c r="B17" s="10"/>
      <c r="C17" s="10"/>
      <c r="D17" s="10"/>
      <c r="E17" s="9"/>
    </row>
    <row r="18" spans="1:5" ht="21" customHeight="1" x14ac:dyDescent="0.3">
      <c r="A18" s="10"/>
      <c r="B18" s="10"/>
      <c r="C18" s="10"/>
      <c r="D18" s="10"/>
      <c r="E18" s="9"/>
    </row>
    <row r="19" spans="1:5" ht="21" customHeight="1" x14ac:dyDescent="0.3">
      <c r="A19" s="10"/>
      <c r="B19" s="10"/>
      <c r="C19" s="10"/>
      <c r="D19" s="10"/>
      <c r="E19" s="9"/>
    </row>
    <row r="20" spans="1:5" ht="21" customHeight="1" x14ac:dyDescent="0.3">
      <c r="A20" s="10"/>
      <c r="B20" s="10"/>
      <c r="C20" s="10"/>
      <c r="D20" s="10"/>
      <c r="E20" s="9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Front</vt:lpstr>
      <vt:lpstr>Rec &amp; Pmt</vt:lpstr>
      <vt:lpstr>TB</vt:lpstr>
      <vt:lpstr>RECEIPTS AND PAYMENT ANANLYSIS</vt:lpstr>
      <vt:lpstr>weekly income statement</vt:lpstr>
      <vt:lpstr>Expend</vt:lpstr>
      <vt:lpstr>MEMBERS DUES ANALYSIS 17</vt:lpstr>
      <vt:lpstr>TITHE</vt:lpstr>
      <vt:lpstr>CASH BOOK</vt:lpstr>
      <vt:lpstr>ASSETS</vt:lpstr>
      <vt:lpstr>RETURNS FOR CIRCUIT</vt:lpstr>
      <vt:lpstr>Stage</vt:lpstr>
      <vt:lpstr>Sheet2</vt:lpstr>
      <vt:lpstr>EXP DETAILS</vt:lpstr>
      <vt:lpstr>'CASH BOOK'!Print_Area</vt:lpstr>
      <vt:lpstr>Front!Print_Area</vt:lpstr>
      <vt:lpstr>'Rec &amp; Pmt'!Print_Area</vt:lpstr>
      <vt:lpstr>'RECEIPTS AND PAYMENT ANANLYSIS'!Print_Area</vt:lpstr>
      <vt:lpstr>'RETURNS FOR CIRCUIT'!Print_Area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2024-12-27T05:35:20Z</dcterms:modified>
</cp:coreProperties>
</file>