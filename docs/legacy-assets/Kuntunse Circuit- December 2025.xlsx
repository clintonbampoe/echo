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1454" documentId="11_3C17D6EBF5DCED9F96450761C5DF20340842C9C5" xr6:coauthVersionLast="47" xr6:coauthVersionMax="47" xr10:uidLastSave="{C3598D1F-19F1-46F2-94BD-47DF5FBD78AC}"/>
  <bookViews>
    <workbookView xWindow="-108" yWindow="-108" windowWidth="23256" windowHeight="12456" tabRatio="771" activeTab="11" xr2:uid="{00000000-000D-0000-FFFF-FFFF00000000}"/>
  </bookViews>
  <sheets>
    <sheet name="CASH BOOK 1" sheetId="2" r:id="rId1"/>
    <sheet name="Inc &amp; Exp" sheetId="1" r:id="rId2"/>
    <sheet name="TB" sheetId="3" r:id="rId3"/>
    <sheet name="Inuaguration" sheetId="4" r:id="rId4"/>
    <sheet name="Petty cash voucher" sheetId="5" r:id="rId5"/>
    <sheet name="PETTY CASH BOOK" sheetId="6" r:id="rId6"/>
    <sheet name="FIXED ASSET REGISTER" sheetId="7" r:id="rId7"/>
    <sheet name="INVENTORY LIST" sheetId="8" r:id="rId8"/>
    <sheet name="INCOME STATEMENT" sheetId="9" r:id="rId9"/>
    <sheet name="SOFP" sheetId="10" r:id="rId10"/>
    <sheet name="Final" sheetId="11" r:id="rId11"/>
    <sheet name="Final (2)" sheetId="12" r:id="rId12"/>
    <sheet name="Individual" sheetId="13" r:id="rId13"/>
    <sheet name="CIRCUITS" sheetId="14" r:id="rId14"/>
    <sheet name="OFFERING" sheetId="15" r:id="rId15"/>
    <sheet name="EXPENSES (2)" sheetId="17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2" l="1"/>
  <c r="C25" i="14"/>
  <c r="D10" i="12" s="1"/>
  <c r="D11" i="12"/>
  <c r="M289" i="2"/>
  <c r="O302" i="2"/>
  <c r="N302" i="2"/>
  <c r="M302" i="2"/>
  <c r="L302" i="2"/>
  <c r="L271" i="2"/>
  <c r="C52" i="17"/>
  <c r="C40" i="17"/>
  <c r="C28" i="17"/>
  <c r="C35" i="17" s="1"/>
  <c r="C24" i="17"/>
  <c r="C16" i="17"/>
  <c r="C12" i="15"/>
  <c r="C22" i="13"/>
  <c r="C46" i="12"/>
  <c r="D28" i="12"/>
  <c r="C33" i="12"/>
  <c r="D26" i="12"/>
  <c r="C26" i="12"/>
  <c r="C36" i="11"/>
  <c r="C32" i="11"/>
  <c r="C37" i="11" s="1"/>
  <c r="D25" i="11"/>
  <c r="C25" i="11"/>
  <c r="D15" i="11"/>
  <c r="D27" i="11" s="1"/>
  <c r="D14" i="12" l="1"/>
  <c r="C57" i="17"/>
  <c r="C38" i="12"/>
  <c r="D41" i="10" l="1"/>
  <c r="C41" i="10"/>
  <c r="D39" i="10"/>
  <c r="C39" i="10"/>
  <c r="D22" i="10"/>
  <c r="C22" i="10"/>
  <c r="D31" i="10"/>
  <c r="C31" i="10"/>
  <c r="D11" i="10"/>
  <c r="D24" i="10" s="1"/>
  <c r="C11" i="10"/>
  <c r="C24" i="10" s="1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61" i="9" s="1"/>
  <c r="K42" i="9"/>
  <c r="K41" i="9"/>
  <c r="K40" i="9"/>
  <c r="K39" i="9"/>
  <c r="K38" i="9"/>
  <c r="K37" i="9"/>
  <c r="K36" i="9"/>
  <c r="K35" i="9"/>
  <c r="K34" i="9"/>
  <c r="K33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8" i="9"/>
  <c r="D63" i="9"/>
  <c r="E63" i="9"/>
  <c r="F63" i="9"/>
  <c r="G63" i="9"/>
  <c r="H63" i="9"/>
  <c r="I63" i="9"/>
  <c r="J63" i="9"/>
  <c r="C63" i="9"/>
  <c r="D61" i="9"/>
  <c r="E61" i="9"/>
  <c r="F61" i="9"/>
  <c r="G61" i="9"/>
  <c r="H61" i="9"/>
  <c r="I61" i="9"/>
  <c r="J61" i="9"/>
  <c r="C61" i="9"/>
  <c r="D29" i="9"/>
  <c r="E29" i="9"/>
  <c r="F29" i="9"/>
  <c r="G29" i="9"/>
  <c r="H29" i="9"/>
  <c r="I29" i="9"/>
  <c r="J29" i="9"/>
  <c r="C29" i="9"/>
  <c r="F9" i="8"/>
  <c r="H9" i="8"/>
  <c r="F10" i="8"/>
  <c r="H10" i="8"/>
  <c r="F11" i="8"/>
  <c r="H11" i="8"/>
  <c r="F12" i="8"/>
  <c r="H12" i="8"/>
  <c r="F13" i="8"/>
  <c r="H13" i="8"/>
  <c r="F14" i="8"/>
  <c r="H14" i="8"/>
  <c r="F15" i="8"/>
  <c r="H15" i="8"/>
  <c r="F16" i="8"/>
  <c r="H16" i="8"/>
  <c r="F17" i="8"/>
  <c r="H17" i="8"/>
  <c r="F18" i="8"/>
  <c r="H18" i="8"/>
  <c r="F19" i="8"/>
  <c r="H19" i="8"/>
  <c r="F20" i="8"/>
  <c r="H20" i="8"/>
  <c r="F21" i="8"/>
  <c r="H21" i="8"/>
  <c r="F22" i="8"/>
  <c r="H22" i="8"/>
  <c r="F23" i="8"/>
  <c r="H23" i="8"/>
  <c r="F24" i="8"/>
  <c r="H24" i="8"/>
  <c r="F8" i="8"/>
  <c r="H8" i="8" s="1"/>
  <c r="O271" i="2"/>
  <c r="N271" i="2"/>
  <c r="M271" i="2"/>
  <c r="C77" i="4"/>
  <c r="C72" i="4"/>
  <c r="F49" i="4"/>
  <c r="F43" i="4"/>
  <c r="O212" i="2"/>
  <c r="N212" i="2"/>
  <c r="M212" i="2"/>
  <c r="L212" i="2"/>
  <c r="O168" i="2"/>
  <c r="N168" i="2"/>
  <c r="M168" i="2"/>
  <c r="L168" i="2"/>
  <c r="K29" i="9" l="1"/>
  <c r="K63" i="9" s="1"/>
  <c r="G116" i="2"/>
  <c r="O144" i="2"/>
  <c r="N144" i="2"/>
  <c r="M144" i="2"/>
  <c r="L144" i="2"/>
  <c r="O126" i="2" l="1"/>
  <c r="N126" i="2"/>
  <c r="M126" i="2"/>
  <c r="L126" i="2"/>
  <c r="B39" i="1" l="1"/>
  <c r="B42" i="1" s="1"/>
  <c r="D19" i="3"/>
  <c r="B36" i="1" l="1"/>
  <c r="H16" i="3"/>
  <c r="D26" i="3"/>
  <c r="B26" i="3"/>
  <c r="C26" i="3"/>
  <c r="E26" i="3"/>
  <c r="F26" i="3"/>
  <c r="G26" i="3"/>
  <c r="I9" i="3"/>
  <c r="C10" i="1" s="1"/>
  <c r="I10" i="3"/>
  <c r="I11" i="3"/>
  <c r="I12" i="3"/>
  <c r="H13" i="3"/>
  <c r="I13" i="3"/>
  <c r="H14" i="3"/>
  <c r="I14" i="3"/>
  <c r="H17" i="3"/>
  <c r="H18" i="3"/>
  <c r="I18" i="3"/>
  <c r="H19" i="3"/>
  <c r="C22" i="1" s="1"/>
  <c r="C23" i="1" s="1"/>
  <c r="H20" i="3"/>
  <c r="I20" i="3"/>
  <c r="I21" i="3"/>
  <c r="C26" i="1" s="1"/>
  <c r="H22" i="3"/>
  <c r="I22" i="3"/>
  <c r="H23" i="3"/>
  <c r="I23" i="3"/>
  <c r="H24" i="3"/>
  <c r="I24" i="3"/>
  <c r="H25" i="3"/>
  <c r="I25" i="3"/>
  <c r="I8" i="3"/>
  <c r="H8" i="3"/>
  <c r="O105" i="2"/>
  <c r="N105" i="2"/>
  <c r="M105" i="2"/>
  <c r="L105" i="2"/>
  <c r="O86" i="2"/>
  <c r="N86" i="2"/>
  <c r="M86" i="2"/>
  <c r="L86" i="2"/>
  <c r="O69" i="2"/>
  <c r="N69" i="2"/>
  <c r="M69" i="2"/>
  <c r="L69" i="2"/>
  <c r="O52" i="2"/>
  <c r="N52" i="2"/>
  <c r="M52" i="2"/>
  <c r="L52" i="2"/>
  <c r="O41" i="2"/>
  <c r="O42" i="2" s="1"/>
  <c r="M41" i="2"/>
  <c r="O37" i="2"/>
  <c r="N37" i="2"/>
  <c r="M37" i="2"/>
  <c r="L37" i="2"/>
  <c r="O23" i="2"/>
  <c r="N23" i="2"/>
  <c r="M23" i="2"/>
  <c r="L23" i="2"/>
  <c r="O10" i="2"/>
  <c r="N10" i="2"/>
  <c r="M10" i="2"/>
  <c r="L10" i="2"/>
  <c r="G10" i="2"/>
  <c r="G11" i="2" s="1"/>
  <c r="F10" i="2"/>
  <c r="E10" i="2"/>
  <c r="D10" i="2"/>
  <c r="L11" i="2" l="1"/>
  <c r="D18" i="2" s="1"/>
  <c r="D23" i="2" s="1"/>
  <c r="L24" i="2" s="1"/>
  <c r="D30" i="2" s="1"/>
  <c r="D37" i="2" s="1"/>
  <c r="L38" i="2" s="1"/>
  <c r="D49" i="2" s="1"/>
  <c r="D52" i="2" s="1"/>
  <c r="L53" i="2" s="1"/>
  <c r="D63" i="2" s="1"/>
  <c r="D69" i="2" s="1"/>
  <c r="L70" i="2" s="1"/>
  <c r="D78" i="2" s="1"/>
  <c r="D86" i="2" s="1"/>
  <c r="L87" i="2" s="1"/>
  <c r="D96" i="2" s="1"/>
  <c r="D105" i="2" s="1"/>
  <c r="L106" i="2" s="1"/>
  <c r="D114" i="2" s="1"/>
  <c r="D126" i="2" s="1"/>
  <c r="L127" i="2" s="1"/>
  <c r="D135" i="2" s="1"/>
  <c r="D144" i="2" s="1"/>
  <c r="L145" i="2" s="1"/>
  <c r="D152" i="2" s="1"/>
  <c r="D168" i="2" s="1"/>
  <c r="L169" i="2" s="1"/>
  <c r="D176" i="2" s="1"/>
  <c r="D212" i="2" s="1"/>
  <c r="L213" i="2" s="1"/>
  <c r="D220" i="2" s="1"/>
  <c r="D271" i="2" s="1"/>
  <c r="L272" i="2" s="1"/>
  <c r="D279" i="2" s="1"/>
  <c r="D302" i="2" s="1"/>
  <c r="L303" i="2" s="1"/>
  <c r="M25" i="2"/>
  <c r="O25" i="2" s="1"/>
  <c r="M11" i="2"/>
  <c r="E18" i="2" s="1"/>
  <c r="E23" i="2" s="1"/>
  <c r="M24" i="2" s="1"/>
  <c r="E30" i="2" s="1"/>
  <c r="E37" i="2" s="1"/>
  <c r="M38" i="2" s="1"/>
  <c r="E49" i="2" s="1"/>
  <c r="E52" i="2" s="1"/>
  <c r="M53" i="2" s="1"/>
  <c r="E63" i="2" s="1"/>
  <c r="E69" i="2" s="1"/>
  <c r="M70" i="2" s="1"/>
  <c r="E78" i="2" s="1"/>
  <c r="E86" i="2" s="1"/>
  <c r="M87" i="2" s="1"/>
  <c r="N11" i="2"/>
  <c r="F18" i="2" s="1"/>
  <c r="F23" i="2" s="1"/>
  <c r="N24" i="2" s="1"/>
  <c r="F30" i="2" s="1"/>
  <c r="F37" i="2" s="1"/>
  <c r="N38" i="2" s="1"/>
  <c r="F49" i="2" s="1"/>
  <c r="F52" i="2" s="1"/>
  <c r="N53" i="2" s="1"/>
  <c r="F63" i="2" s="1"/>
  <c r="F69" i="2" s="1"/>
  <c r="N70" i="2" s="1"/>
  <c r="F78" i="2" s="1"/>
  <c r="F86" i="2" s="1"/>
  <c r="N87" i="2" s="1"/>
  <c r="F96" i="2" s="1"/>
  <c r="F105" i="2" s="1"/>
  <c r="N106" i="2" s="1"/>
  <c r="F114" i="2" s="1"/>
  <c r="F126" i="2" s="1"/>
  <c r="N127" i="2" s="1"/>
  <c r="F135" i="2" s="1"/>
  <c r="F144" i="2" s="1"/>
  <c r="N145" i="2" s="1"/>
  <c r="F152" i="2" s="1"/>
  <c r="F168" i="2" s="1"/>
  <c r="N169" i="2" s="1"/>
  <c r="F176" i="2" s="1"/>
  <c r="F212" i="2" s="1"/>
  <c r="N213" i="2" s="1"/>
  <c r="F220" i="2" s="1"/>
  <c r="F271" i="2" s="1"/>
  <c r="N272" i="2" s="1"/>
  <c r="F279" i="2" s="1"/>
  <c r="F302" i="2" s="1"/>
  <c r="N303" i="2" s="1"/>
  <c r="E27" i="3"/>
  <c r="O12" i="2"/>
  <c r="I26" i="3"/>
  <c r="H15" i="3"/>
  <c r="C12" i="1" s="1"/>
  <c r="C14" i="1" s="1"/>
  <c r="C27" i="1" s="1"/>
  <c r="C28" i="1" s="1"/>
  <c r="O11" i="2"/>
  <c r="G18" i="2" s="1"/>
  <c r="G23" i="2" s="1"/>
  <c r="M42" i="2" l="1"/>
  <c r="M44" i="2" s="1"/>
  <c r="H26" i="3"/>
  <c r="O24" i="2"/>
  <c r="G30" i="2" s="1"/>
  <c r="G37" i="2" s="1"/>
  <c r="G24" i="2"/>
  <c r="E96" i="2"/>
  <c r="E105" i="2" s="1"/>
  <c r="M106" i="2" s="1"/>
  <c r="E114" i="2" s="1"/>
  <c r="E126" i="2" s="1"/>
  <c r="M127" i="2" s="1"/>
  <c r="E135" i="2" s="1"/>
  <c r="E144" i="2" s="1"/>
  <c r="M145" i="2" s="1"/>
  <c r="E152" i="2" s="1"/>
  <c r="E168" i="2" s="1"/>
  <c r="M169" i="2" s="1"/>
  <c r="E176" i="2" s="1"/>
  <c r="E212" i="2" s="1"/>
  <c r="M213" i="2" s="1"/>
  <c r="E220" i="2" s="1"/>
  <c r="E271" i="2" s="1"/>
  <c r="M272" i="2" s="1"/>
  <c r="E279" i="2" s="1"/>
  <c r="E302" i="2" s="1"/>
  <c r="M303" i="2" s="1"/>
  <c r="O43" i="2" l="1"/>
  <c r="O38" i="2"/>
  <c r="G38" i="2"/>
  <c r="O40" i="2" l="1"/>
  <c r="G49" i="2"/>
  <c r="G52" i="2" s="1"/>
  <c r="G53" i="2" l="1"/>
  <c r="O53" i="2"/>
  <c r="G63" i="2" s="1"/>
  <c r="G69" i="2" s="1"/>
  <c r="O70" i="2" l="1"/>
  <c r="G70" i="2"/>
  <c r="G78" i="2" l="1"/>
  <c r="G86" i="2" s="1"/>
  <c r="O87" i="2" l="1"/>
  <c r="G87" i="2"/>
  <c r="G96" i="2" l="1"/>
  <c r="G105" i="2" s="1"/>
  <c r="O106" i="2" l="1"/>
  <c r="G106" i="2"/>
  <c r="G114" i="2" l="1"/>
  <c r="G126" i="2" s="1"/>
  <c r="O127" i="2" l="1"/>
  <c r="G135" i="2" s="1"/>
  <c r="G144" i="2" s="1"/>
  <c r="G127" i="2"/>
  <c r="O145" i="2" l="1"/>
  <c r="G152" i="2" s="1"/>
  <c r="G168" i="2" s="1"/>
  <c r="G145" i="2"/>
  <c r="O169" i="2" l="1"/>
  <c r="G176" i="2" s="1"/>
  <c r="G212" i="2" s="1"/>
  <c r="G169" i="2"/>
  <c r="O213" i="2" l="1"/>
  <c r="G220" i="2" s="1"/>
  <c r="G271" i="2" s="1"/>
  <c r="G213" i="2"/>
  <c r="O272" i="2" l="1"/>
  <c r="G279" i="2" s="1"/>
  <c r="G302" i="2" s="1"/>
  <c r="G272" i="2"/>
  <c r="O303" i="2" l="1"/>
  <c r="G303" i="2"/>
</calcChain>
</file>

<file path=xl/sharedStrings.xml><?xml version="1.0" encoding="utf-8"?>
<sst xmlns="http://schemas.openxmlformats.org/spreadsheetml/2006/main" count="1161" uniqueCount="520">
  <si>
    <t>CASHBOOK</t>
  </si>
  <si>
    <t>JANUARY</t>
  </si>
  <si>
    <t>RECEIPTS</t>
  </si>
  <si>
    <t>PAYMENTS</t>
  </si>
  <si>
    <t>DATE</t>
  </si>
  <si>
    <t>DETAILS</t>
  </si>
  <si>
    <t>FOLIO</t>
  </si>
  <si>
    <t>REPUBLIC</t>
  </si>
  <si>
    <t>GA RURAL</t>
  </si>
  <si>
    <t>PETTY CASH</t>
  </si>
  <si>
    <t>CASH</t>
  </si>
  <si>
    <t>GHC</t>
  </si>
  <si>
    <t>Bal B/F</t>
  </si>
  <si>
    <t>CLOSING BALANCE</t>
  </si>
  <si>
    <t>FEBRUARY</t>
  </si>
  <si>
    <t>MARCH</t>
  </si>
  <si>
    <t>APRIL</t>
  </si>
  <si>
    <t>MAY</t>
  </si>
  <si>
    <t>JUNE</t>
  </si>
  <si>
    <t>JULY</t>
  </si>
  <si>
    <t>PAYMENT TO EMMANUEL DUNCAN FARMS FOR CIRCUIT OFFICE</t>
  </si>
  <si>
    <t>ADVANCE FROM SATELLITE</t>
  </si>
  <si>
    <t>ADVANCE FROM HEBRON</t>
  </si>
  <si>
    <t>ALLNIGHT</t>
  </si>
  <si>
    <t>KOLEMAN RETREAT</t>
  </si>
  <si>
    <t>REVIVAL</t>
  </si>
  <si>
    <t>BISHOP VISIT</t>
  </si>
  <si>
    <t>SNACKS FOR QM</t>
  </si>
  <si>
    <t>T&amp;T FOR EVANGELIST</t>
  </si>
  <si>
    <t>T&amp;T 2 SPEAKERS REVIVAL</t>
  </si>
  <si>
    <t>SNACK FOR QUARTERLY MEETING</t>
  </si>
  <si>
    <t>NORTHERN ACCRA DIOCESE</t>
  </si>
  <si>
    <t>GA SUB-URBAN CIRCUIT</t>
  </si>
  <si>
    <t>KUNTUNSE SECTION</t>
  </si>
  <si>
    <t>JANUARY TO JUNE 2025</t>
  </si>
  <si>
    <t>INCOME</t>
  </si>
  <si>
    <t>TRIAL BALANCE AS AT JUNE 30TH 2025</t>
  </si>
  <si>
    <t>DR</t>
  </si>
  <si>
    <t>CR</t>
  </si>
  <si>
    <t>GHS</t>
  </si>
  <si>
    <t>OPENING BALANCE</t>
  </si>
  <si>
    <t>CURRENT TRANSACTIONS</t>
  </si>
  <si>
    <t>ADJUSTMENTS</t>
  </si>
  <si>
    <t>TOTAL</t>
  </si>
  <si>
    <t>INCOME :</t>
  </si>
  <si>
    <t>ALL NIGHT SERVICE</t>
  </si>
  <si>
    <t>RETREAT</t>
  </si>
  <si>
    <t>OFFERING</t>
  </si>
  <si>
    <t>EXPENDITURE</t>
  </si>
  <si>
    <t>SNACK</t>
  </si>
  <si>
    <t>T&amp;T</t>
  </si>
  <si>
    <t>HONARARIUM TO PREACHERS</t>
  </si>
  <si>
    <t>BANK</t>
  </si>
  <si>
    <t>ACCUMULATED FUND</t>
  </si>
  <si>
    <t xml:space="preserve"> RECEIVABLE</t>
  </si>
  <si>
    <t>PAYABLE</t>
  </si>
  <si>
    <t>NOTES</t>
  </si>
  <si>
    <t>AMOUNT</t>
  </si>
  <si>
    <t>SURPLUS/(DEFICIT)</t>
  </si>
  <si>
    <t>STATEMENT OF FINANCIAL POSITION AS AT</t>
  </si>
  <si>
    <t xml:space="preserve"> JUNE 2025</t>
  </si>
  <si>
    <t>INCOME AND EXPENDITURE ACCOUNT FOR THE PERIOD</t>
  </si>
  <si>
    <t>ASSETS</t>
  </si>
  <si>
    <t>NON CURRENT ASSETS</t>
  </si>
  <si>
    <t xml:space="preserve">FINANCED BY </t>
  </si>
  <si>
    <t>SURPLUS</t>
  </si>
  <si>
    <t>OFFERING- BISHOP VISIT</t>
  </si>
  <si>
    <t>SNACK- QUARTERLY MEETING</t>
  </si>
  <si>
    <t>HONARARIUM TO SPEAKER REVIVAL</t>
  </si>
  <si>
    <t>T&amp;T EVANGELIST</t>
  </si>
  <si>
    <t>…………………………………….</t>
  </si>
  <si>
    <t>……………………………………</t>
  </si>
  <si>
    <t>REV. BENJAMIN F. ESSEL</t>
  </si>
  <si>
    <t>PATRICK NYARKOH</t>
  </si>
  <si>
    <t>(SECTIONAL MINISTER)</t>
  </si>
  <si>
    <t>(SECTIONAL STEWARD)</t>
  </si>
  <si>
    <t>AUGUST</t>
  </si>
  <si>
    <t>18-8-25</t>
  </si>
  <si>
    <t>CASH DEPOSIT</t>
  </si>
  <si>
    <t>CASH DEPOSIT TO BANK</t>
  </si>
  <si>
    <t>SEPTEMBER</t>
  </si>
  <si>
    <t xml:space="preserve">SEND OFF LEVY </t>
  </si>
  <si>
    <t>SATELLITE</t>
  </si>
  <si>
    <t>HEBRON</t>
  </si>
  <si>
    <t>KORLEMAN</t>
  </si>
  <si>
    <t>MEDIE</t>
  </si>
  <si>
    <t>SAMSAM</t>
  </si>
  <si>
    <t>MEMPEMEHUASEM</t>
  </si>
  <si>
    <t>MANCHIE</t>
  </si>
  <si>
    <t>CITATION</t>
  </si>
  <si>
    <t>LUNCH</t>
  </si>
  <si>
    <t>PASTRIES</t>
  </si>
  <si>
    <t>DRINKS</t>
  </si>
  <si>
    <t>WATER</t>
  </si>
  <si>
    <t>CASH DONATIONS</t>
  </si>
  <si>
    <t>OCTOBER</t>
  </si>
  <si>
    <t>Funds from Ga-sub</t>
  </si>
  <si>
    <t>Food for guest</t>
  </si>
  <si>
    <t>Drinks</t>
  </si>
  <si>
    <t>Water</t>
  </si>
  <si>
    <t>Pastries</t>
  </si>
  <si>
    <t>REFRESHMENT FOR CIRCUIT MEETING</t>
  </si>
  <si>
    <t>BISCUITS FOR MEETING</t>
  </si>
  <si>
    <t>FUNDS FROM BRO PATRICK</t>
  </si>
  <si>
    <t>FUNDS FROM SATELLITE</t>
  </si>
  <si>
    <t>NOVEMBER</t>
  </si>
  <si>
    <t>PURCHASE OF LAPTOP</t>
  </si>
  <si>
    <t>PAYMENT OF OCT ALLOWANCE FOR ADMNI</t>
  </si>
  <si>
    <t>DONATION FROM PATRICK</t>
  </si>
  <si>
    <t>SEEDFUND FROM DIOCESE</t>
  </si>
  <si>
    <t>OCTOBER ALLOWANCES FOR MINISTERS AND EVANGELIST</t>
  </si>
  <si>
    <t>PAYMENT FOR WESLYAN VOICE</t>
  </si>
  <si>
    <t>V.REV DAVID FIANKO SAKYI</t>
  </si>
  <si>
    <t>V. REV KOBINA ANAMAN</t>
  </si>
  <si>
    <t>EVG. SARAH DUKER</t>
  </si>
  <si>
    <t>EVG GODWIN AGBEBO</t>
  </si>
  <si>
    <t>THE METHODIST CHURCH GHANA</t>
  </si>
  <si>
    <t>KUTUNSE CIRCUIT</t>
  </si>
  <si>
    <t>DEPOSIT</t>
  </si>
  <si>
    <t>FK</t>
  </si>
  <si>
    <t>FK PAYMENT</t>
  </si>
  <si>
    <t>GCB</t>
  </si>
  <si>
    <t>GRB</t>
  </si>
  <si>
    <t>DEPOSIT-LOAN</t>
  </si>
  <si>
    <t>DOM</t>
  </si>
  <si>
    <t>ROMEO</t>
  </si>
  <si>
    <t>JOSH</t>
  </si>
  <si>
    <t>PMT V.REV ANAMAN</t>
  </si>
  <si>
    <t>GODWIN AGBEBO</t>
  </si>
  <si>
    <t>SARAH DUKER</t>
  </si>
  <si>
    <t>V.REV FIANKO</t>
  </si>
  <si>
    <t>EMMANUEL DUNCAN</t>
  </si>
  <si>
    <t>PAYMENT</t>
  </si>
  <si>
    <t>MDF</t>
  </si>
  <si>
    <t>DMDF</t>
  </si>
  <si>
    <t>STATIONARY</t>
  </si>
  <si>
    <t>WBL</t>
  </si>
  <si>
    <t>S.SCH SYLL</t>
  </si>
  <si>
    <t>LECT</t>
  </si>
  <si>
    <t>BANNER</t>
  </si>
  <si>
    <t>INAUGRATION</t>
  </si>
  <si>
    <t>RECEIPT BOOKS</t>
  </si>
  <si>
    <t>DIO DEBT</t>
  </si>
  <si>
    <t>COVENANT ENVELOPES</t>
  </si>
  <si>
    <t>PD</t>
  </si>
  <si>
    <t>WATCHNIGHT</t>
  </si>
  <si>
    <t>SAT</t>
  </si>
  <si>
    <t>HEB</t>
  </si>
  <si>
    <t>MED</t>
  </si>
  <si>
    <t>MEM</t>
  </si>
  <si>
    <t>KOR</t>
  </si>
  <si>
    <t>MAN</t>
  </si>
  <si>
    <t>SAM</t>
  </si>
  <si>
    <t>FIANKO</t>
  </si>
  <si>
    <t>ANAMAN</t>
  </si>
  <si>
    <t>CONEXION</t>
  </si>
  <si>
    <t>DIOCESE</t>
  </si>
  <si>
    <t>OCT</t>
  </si>
  <si>
    <t>NOV</t>
  </si>
  <si>
    <t>SALARIES</t>
  </si>
  <si>
    <t>GODWIN</t>
  </si>
  <si>
    <t>DUKER</t>
  </si>
  <si>
    <t>WESLYAN VOICE</t>
  </si>
  <si>
    <t>FURNISHING</t>
  </si>
  <si>
    <t>GA-SUB</t>
  </si>
  <si>
    <t>YDM- REFRESH</t>
  </si>
  <si>
    <t>REFRESH FINANCE COM</t>
  </si>
  <si>
    <t>HE</t>
  </si>
  <si>
    <t>DECEMBER</t>
  </si>
  <si>
    <t>PETTY CASH VOUCHER</t>
  </si>
  <si>
    <t>DETAILS OF PAYMENT</t>
  </si>
  <si>
    <t>NO.001</t>
  </si>
  <si>
    <t>AMT IN WORDS</t>
  </si>
  <si>
    <t>….................................                                    …..............................                       …...............................</t>
  </si>
  <si>
    <t xml:space="preserve">     RECEIVED BY                                                             PREPARED BY                                          APPROVED BY</t>
  </si>
  <si>
    <t>PAYEE ….....................................</t>
  </si>
  <si>
    <t>DATE….......................................</t>
  </si>
  <si>
    <t>PETTY CASH ANALYSIS BOOK</t>
  </si>
  <si>
    <t>AMT RECEIVED</t>
  </si>
  <si>
    <t>PARTICULARS</t>
  </si>
  <si>
    <t>VOUCHER NO.</t>
  </si>
  <si>
    <t>PRINTING</t>
  </si>
  <si>
    <t>FUEL</t>
  </si>
  <si>
    <t>WAGES</t>
  </si>
  <si>
    <t>COMMUNICATION</t>
  </si>
  <si>
    <t>CLEANING</t>
  </si>
  <si>
    <t>MISC.</t>
  </si>
  <si>
    <t>TOTAL GHS</t>
  </si>
  <si>
    <t>SUMMARY :</t>
  </si>
  <si>
    <t>CASH ON HAND ( OPENING BALANCE)</t>
  </si>
  <si>
    <t>ADD FLOAT RECEIVED</t>
  </si>
  <si>
    <t>LESS TOTAL DISBURSMENT</t>
  </si>
  <si>
    <t>AMT TO BE REPLENISHED</t>
  </si>
  <si>
    <t>UTILITIES</t>
  </si>
  <si>
    <t>FIXED ASSET REGISTER</t>
  </si>
  <si>
    <t>ID. NO</t>
  </si>
  <si>
    <t>DESCRIPTION</t>
  </si>
  <si>
    <t>BRAND</t>
  </si>
  <si>
    <t>MODEL NO.</t>
  </si>
  <si>
    <t>SERIAL NO</t>
  </si>
  <si>
    <t>PURCHASE VALUE</t>
  </si>
  <si>
    <t>PURCHASE DATE</t>
  </si>
  <si>
    <t>LOCATION</t>
  </si>
  <si>
    <t>PERSON IN CUSTODY</t>
  </si>
  <si>
    <t>INVENTORY LIST</t>
  </si>
  <si>
    <t>NO.</t>
  </si>
  <si>
    <t>NAME OF ITEM</t>
  </si>
  <si>
    <t>BEGINNING INVENTORY</t>
  </si>
  <si>
    <t>PURCHASES DURING YEAR</t>
  </si>
  <si>
    <t>ITEMS SOLD OR DELETED</t>
  </si>
  <si>
    <t>ENDING INVENTORY</t>
  </si>
  <si>
    <t>UNIT AVERAGE COST</t>
  </si>
  <si>
    <t>TOTAL VALUE</t>
  </si>
  <si>
    <t>INCOME AND EXPENDITURE FOR THE YEAR ENDED …...................................</t>
  </si>
  <si>
    <t>CIRCUIT OFFICE</t>
  </si>
  <si>
    <t>OFFERTORY</t>
  </si>
  <si>
    <t>TITHE</t>
  </si>
  <si>
    <t>KOFI &amp; AMA</t>
  </si>
  <si>
    <t>THANKS OFFERING</t>
  </si>
  <si>
    <t>SPECIAL OFFERING</t>
  </si>
  <si>
    <t>SO MU BI</t>
  </si>
  <si>
    <t>HARVEST PROCEEDS</t>
  </si>
  <si>
    <t>WELFARE DUES</t>
  </si>
  <si>
    <t>MPRP</t>
  </si>
  <si>
    <t>SEED FUND</t>
  </si>
  <si>
    <t>SALE OF STATIONARY</t>
  </si>
  <si>
    <t>DONATIONS</t>
  </si>
  <si>
    <t>WOMEN'S &amp; MEN'S DAY</t>
  </si>
  <si>
    <t>INVESTMENT INCOME</t>
  </si>
  <si>
    <t>CONTRIBUTIONS FROM SOCIETIES</t>
  </si>
  <si>
    <t>NORTHERN GHANA APPEAL</t>
  </si>
  <si>
    <t>COVENANT SUNDAY</t>
  </si>
  <si>
    <t>TOTAL INCOME (A)</t>
  </si>
  <si>
    <t>SALARIES &amp; WAGES :</t>
  </si>
  <si>
    <t>ALLOWANCES :</t>
  </si>
  <si>
    <t xml:space="preserve">                            MINISTERIAL</t>
  </si>
  <si>
    <t xml:space="preserve">                            OTHERS</t>
  </si>
  <si>
    <t>T&amp;T, HONARARIUM</t>
  </si>
  <si>
    <t>MANSE EXPENSES</t>
  </si>
  <si>
    <t xml:space="preserve">UTILITIES - </t>
  </si>
  <si>
    <t>CLEANING AND SANITATION</t>
  </si>
  <si>
    <t>PURCHASE OF STATIONARY</t>
  </si>
  <si>
    <t>CONFERENCE AND SYNOD EXPENSES</t>
  </si>
  <si>
    <t>EDUCATION AND TRAINING</t>
  </si>
  <si>
    <t>REPAIRS AND MAINTENANCE</t>
  </si>
  <si>
    <t>CONTRIBUTIONS</t>
  </si>
  <si>
    <t>ASSISTANCE TO ORGANISATIONS</t>
  </si>
  <si>
    <t>EVANGELISM EXPENSES</t>
  </si>
  <si>
    <t>MEDICAL EXPENSES</t>
  </si>
  <si>
    <t>WELFARE EXPENSES</t>
  </si>
  <si>
    <t>PROPERTY RATES</t>
  </si>
  <si>
    <t>HARVEST EXPENSES</t>
  </si>
  <si>
    <t>DEPRECIATION</t>
  </si>
  <si>
    <t>PRINTING &amp; STATIONARY</t>
  </si>
  <si>
    <t>HIRING OF CHAIRS AND EQUIP</t>
  </si>
  <si>
    <t>COVENANT</t>
  </si>
  <si>
    <t>MISCE.</t>
  </si>
  <si>
    <t>TOTAL EXPENDITURE</t>
  </si>
  <si>
    <t xml:space="preserve">EXCESS INCOME OVER EXPENDITURE </t>
  </si>
  <si>
    <t>STATEMENT OF FINANCIAL POSITION AS AT …...................................</t>
  </si>
  <si>
    <t>PROPERTY,PLANT &amp; EQUIPMENT</t>
  </si>
  <si>
    <t>LONG TERM INVESTMENT</t>
  </si>
  <si>
    <t>INVESTMENT PROPERTIES</t>
  </si>
  <si>
    <t>CURRENT ASSETS</t>
  </si>
  <si>
    <t>SHORT TERM INVESTMENT</t>
  </si>
  <si>
    <t>STAFF SALARY ADVANCE</t>
  </si>
  <si>
    <t>RENT PREPAYMENT</t>
  </si>
  <si>
    <t>INVENTORY - STATIONARY</t>
  </si>
  <si>
    <t>DEPOSITS</t>
  </si>
  <si>
    <t>INTEREST RECEIVABLES</t>
  </si>
  <si>
    <t>SUNDRY RECEIVABLES</t>
  </si>
  <si>
    <t>CASH &amp; BANK</t>
  </si>
  <si>
    <t>TOTAL ASSETS</t>
  </si>
  <si>
    <t>LIABILITIES</t>
  </si>
  <si>
    <t>FUND &amp; SURPLUS</t>
  </si>
  <si>
    <t>EXCESS INCOME OVER EXPENDITURE</t>
  </si>
  <si>
    <t>CURRENT LIABILITIES</t>
  </si>
  <si>
    <t>UNPAID UTILITIES</t>
  </si>
  <si>
    <t>OUTSTANDING SALARIES</t>
  </si>
  <si>
    <t>BANK OVERDRAFT</t>
  </si>
  <si>
    <t>OUTSTANDING MDF</t>
  </si>
  <si>
    <t>SUNDRY PAYABLES</t>
  </si>
  <si>
    <t>TOTAL LIABILITIES</t>
  </si>
  <si>
    <t>METHODIST CHURCH GHANA</t>
  </si>
  <si>
    <t>INCOME AND EXPENDITURE FOR INAUGURATION ON 25TH JANUARY 2026</t>
  </si>
  <si>
    <t>BUDGET</t>
  </si>
  <si>
    <t>ACTUAL</t>
  </si>
  <si>
    <t>CAROL SERVICE</t>
  </si>
  <si>
    <t>LOAN</t>
  </si>
  <si>
    <t>INCOME FROM SISTER CIRCUITS</t>
  </si>
  <si>
    <t>APPEAL FROM INDIVIDUALS</t>
  </si>
  <si>
    <t>OFFERING &amp; APPEAL</t>
  </si>
  <si>
    <t>HOSPITALITY</t>
  </si>
  <si>
    <t>SECURITY</t>
  </si>
  <si>
    <t>MEDIA &amp; PUBLICITY</t>
  </si>
  <si>
    <t>PRAYER</t>
  </si>
  <si>
    <t>PROTOCOL &amp; USHERING</t>
  </si>
  <si>
    <t>Excess Income over expenditure</t>
  </si>
  <si>
    <t>MEDIA</t>
  </si>
  <si>
    <t>DECO REFUND</t>
  </si>
  <si>
    <t>COMPACTOR</t>
  </si>
  <si>
    <t>GENERATOR</t>
  </si>
  <si>
    <t>EXCESS HOSPITALITY</t>
  </si>
  <si>
    <t>REFUNDS TO BE DONE FROM INAUGURATION</t>
  </si>
  <si>
    <t>LOAN WITHDRAWN FOR INAUGURATION</t>
  </si>
  <si>
    <t>NOTE</t>
  </si>
  <si>
    <t>POST DATED CHEQUE</t>
  </si>
  <si>
    <t>FUNDS WITH SATELLITE</t>
  </si>
  <si>
    <t>PLEDGE</t>
  </si>
  <si>
    <t>SUPPORT FOR WASHROOM</t>
  </si>
  <si>
    <t>8 TOILET SEATS TO BE PAID</t>
  </si>
  <si>
    <t>EXCESS EXPENDITURE ON FUNDS ADVANCED FOR PROGRAM</t>
  </si>
  <si>
    <t>NORTHERN ACCRA DIOCES</t>
  </si>
  <si>
    <t xml:space="preserve">               INDIVIDUAL SUPPORT TOWARDS INAUGURATION AND INDUCTION OF KUTUNSE CIRCUIT AND ITS SUPERINTENDENT MINISTER</t>
  </si>
  <si>
    <t>ITEM</t>
  </si>
  <si>
    <t>NAME</t>
  </si>
  <si>
    <t>SOCIETY</t>
  </si>
  <si>
    <t>MODE OF PAYMENT</t>
  </si>
  <si>
    <t>STATUS</t>
  </si>
  <si>
    <t>Mr. Aidoo</t>
  </si>
  <si>
    <t>Satellite</t>
  </si>
  <si>
    <t>Cash</t>
  </si>
  <si>
    <t>Deposited</t>
  </si>
  <si>
    <t>Mr. Gyasi</t>
  </si>
  <si>
    <t>Ms Gloria Asare</t>
  </si>
  <si>
    <t>Hebron</t>
  </si>
  <si>
    <t>Mr. Peter Asare</t>
  </si>
  <si>
    <t>Mr. &amp; Mrs. Montford</t>
  </si>
  <si>
    <t>Medie</t>
  </si>
  <si>
    <t>Cheque</t>
  </si>
  <si>
    <t>Mr. Sarfo Bempah</t>
  </si>
  <si>
    <t>Yet to receive</t>
  </si>
  <si>
    <t>Lucy Oduro</t>
  </si>
  <si>
    <t>Mr. John Amoanyi</t>
  </si>
  <si>
    <t>Madam Rosina Akomah</t>
  </si>
  <si>
    <t>Prof Kyerematen</t>
  </si>
  <si>
    <t>Mr. Benjamin Hagan</t>
  </si>
  <si>
    <t xml:space="preserve">Received </t>
  </si>
  <si>
    <t>Abraham Nii Kwatchey</t>
  </si>
  <si>
    <t xml:space="preserve">CIRCUITS DONATIONS </t>
  </si>
  <si>
    <t>S/N</t>
  </si>
  <si>
    <t>CIRCUIT NAME</t>
  </si>
  <si>
    <t>AWOSHIE</t>
  </si>
  <si>
    <t>NGLESHIE AMANFRO</t>
  </si>
  <si>
    <t>KWABENYA</t>
  </si>
  <si>
    <t>ADJEN KOTOKU</t>
  </si>
  <si>
    <t>GA SUB URBAN</t>
  </si>
  <si>
    <t>AFIAMAN SOCIETY</t>
  </si>
  <si>
    <t>KWASHIEMAN NORTH</t>
  </si>
  <si>
    <t>KOJO ASHONG SECTION</t>
  </si>
  <si>
    <t xml:space="preserve">ADENTA </t>
  </si>
  <si>
    <t>ASHONGMAN</t>
  </si>
  <si>
    <t>NEW ACHIMOTA</t>
  </si>
  <si>
    <t>ASHALE BOTWE</t>
  </si>
  <si>
    <t>BETHLEHEM SOCIETY</t>
  </si>
  <si>
    <t>NORTHERN ACCAR DIOCESE</t>
  </si>
  <si>
    <t>OFFERINGS RECEIVED</t>
  </si>
  <si>
    <t>Wednesday, 21 Jan 2026</t>
  </si>
  <si>
    <t>Thursday, 22 Jan 2026</t>
  </si>
  <si>
    <t>Friday, 23 Jan 2026</t>
  </si>
  <si>
    <t>Sunday, 25 Jan 2026</t>
  </si>
  <si>
    <t xml:space="preserve">Appeal </t>
  </si>
  <si>
    <t>Pledges</t>
  </si>
  <si>
    <t>EXPENSES</t>
  </si>
  <si>
    <t>Sacks</t>
  </si>
  <si>
    <t>Compactor and TnT</t>
  </si>
  <si>
    <t>Medical</t>
  </si>
  <si>
    <t>Hotel Reservation</t>
  </si>
  <si>
    <t>Printing of Brochure</t>
  </si>
  <si>
    <t>Decor</t>
  </si>
  <si>
    <t>TV bracket (2)</t>
  </si>
  <si>
    <t>TV splitter (2)</t>
  </si>
  <si>
    <t>Video and Photography- Camera rent and Transport</t>
  </si>
  <si>
    <t>Food</t>
  </si>
  <si>
    <t xml:space="preserve">Security </t>
  </si>
  <si>
    <t xml:space="preserve">Drink </t>
  </si>
  <si>
    <t>Tags and Labels</t>
  </si>
  <si>
    <t>Clothes</t>
  </si>
  <si>
    <t>Buffet</t>
  </si>
  <si>
    <t>Breakfast</t>
  </si>
  <si>
    <t xml:space="preserve">Curtains </t>
  </si>
  <si>
    <t>Detergents</t>
  </si>
  <si>
    <t>First Aid</t>
  </si>
  <si>
    <t>Table cloth</t>
  </si>
  <si>
    <t>ECG (Manse)</t>
  </si>
  <si>
    <t>Communion</t>
  </si>
  <si>
    <t>000001</t>
  </si>
  <si>
    <t>000002</t>
  </si>
  <si>
    <t>MOBILIZATION- CONEX</t>
  </si>
  <si>
    <t>000003</t>
  </si>
  <si>
    <t>000004</t>
  </si>
  <si>
    <t>MOBILIZATION- DIOC</t>
  </si>
  <si>
    <t>000005</t>
  </si>
  <si>
    <t>000006</t>
  </si>
  <si>
    <t>000007</t>
  </si>
  <si>
    <t>V. REV. DFS= DIO</t>
  </si>
  <si>
    <t>V. REV. DFS= CIRC. OCT</t>
  </si>
  <si>
    <t>V. REV. DFS= CIR . NOV</t>
  </si>
  <si>
    <t>000009</t>
  </si>
  <si>
    <t>V.REV KSA- DIO</t>
  </si>
  <si>
    <t>V.REV KSA- CIR</t>
  </si>
  <si>
    <t>ENG. GODWIN</t>
  </si>
  <si>
    <t>000010</t>
  </si>
  <si>
    <t>000011</t>
  </si>
  <si>
    <t>000012</t>
  </si>
  <si>
    <t>EVG SARAH DUKER</t>
  </si>
  <si>
    <t>EVG SARAH DUKER- LOAN</t>
  </si>
  <si>
    <t>EMMANUEL DUNCAN-CIR. OFF FURNISHING</t>
  </si>
  <si>
    <t>000013</t>
  </si>
  <si>
    <t>000014</t>
  </si>
  <si>
    <t>000015</t>
  </si>
  <si>
    <t>000016</t>
  </si>
  <si>
    <t>MOB CONX- WK 44-46</t>
  </si>
  <si>
    <t>MOB DIO- WK 47-48</t>
  </si>
  <si>
    <t>000017</t>
  </si>
  <si>
    <t>MOB CONX- WK 47-48</t>
  </si>
  <si>
    <t>MOB CONX- WK 49-51</t>
  </si>
  <si>
    <t>000018</t>
  </si>
  <si>
    <t>000019</t>
  </si>
  <si>
    <t>MOB DIO- WK 49-51</t>
  </si>
  <si>
    <t>000025</t>
  </si>
  <si>
    <t>REFRESHMENT</t>
  </si>
  <si>
    <t>000026</t>
  </si>
  <si>
    <t>000028</t>
  </si>
  <si>
    <t>000029</t>
  </si>
  <si>
    <t>ALLOWANCES</t>
  </si>
  <si>
    <t>000030</t>
  </si>
  <si>
    <t>000031</t>
  </si>
  <si>
    <t>000032</t>
  </si>
  <si>
    <t>CIRCUIT ALLOWANCES</t>
  </si>
  <si>
    <t>INAUGURATION EXP</t>
  </si>
  <si>
    <t>PRINTING OF STAIONARY</t>
  </si>
  <si>
    <t>FK REGISTRATION</t>
  </si>
  <si>
    <t>000033</t>
  </si>
  <si>
    <t>000034</t>
  </si>
  <si>
    <t>000035</t>
  </si>
  <si>
    <t>000036</t>
  </si>
  <si>
    <t>V.REV DFS FK EXP</t>
  </si>
  <si>
    <t>V.REV KSA FK EXP</t>
  </si>
  <si>
    <t>000037</t>
  </si>
  <si>
    <t>000038</t>
  </si>
  <si>
    <t>000039</t>
  </si>
  <si>
    <t>000040</t>
  </si>
  <si>
    <t>X,MAS PACKAGE</t>
  </si>
  <si>
    <t>0096401</t>
  </si>
  <si>
    <t>0096402</t>
  </si>
  <si>
    <t>SMC- MOB 36-43</t>
  </si>
  <si>
    <t>SMC CONTRI TO OFFICE</t>
  </si>
  <si>
    <t>HMC- MOB 49-50</t>
  </si>
  <si>
    <t>MEMM- WBL</t>
  </si>
  <si>
    <t>AWOSHIE CIRCUIT</t>
  </si>
  <si>
    <t>MMC- MOBI</t>
  </si>
  <si>
    <t>KMC- MOB</t>
  </si>
  <si>
    <t>MEMCC- MOB</t>
  </si>
  <si>
    <t>0000013</t>
  </si>
  <si>
    <t>0000011</t>
  </si>
  <si>
    <t>0000012</t>
  </si>
  <si>
    <t>0000014</t>
  </si>
  <si>
    <t>0000016</t>
  </si>
  <si>
    <t>MAMC- MOBI</t>
  </si>
  <si>
    <t>0000017</t>
  </si>
  <si>
    <t>0000018</t>
  </si>
  <si>
    <t>0000019</t>
  </si>
  <si>
    <t>0000020</t>
  </si>
  <si>
    <t>MAMC</t>
  </si>
  <si>
    <t>MMC</t>
  </si>
  <si>
    <t>KMC</t>
  </si>
  <si>
    <t>0000021</t>
  </si>
  <si>
    <t>0000022</t>
  </si>
  <si>
    <t>0000023</t>
  </si>
  <si>
    <t>0000024</t>
  </si>
  <si>
    <t>HMC- TRAIN. SS TEACHERS</t>
  </si>
  <si>
    <t>0000025</t>
  </si>
  <si>
    <t>0000026</t>
  </si>
  <si>
    <t>0000027</t>
  </si>
  <si>
    <t>0000028</t>
  </si>
  <si>
    <t>0000029</t>
  </si>
  <si>
    <t>0000030</t>
  </si>
  <si>
    <t>0000031</t>
  </si>
  <si>
    <t>0000032</t>
  </si>
  <si>
    <t>0000033</t>
  </si>
  <si>
    <t>0000034</t>
  </si>
  <si>
    <t>0000035</t>
  </si>
  <si>
    <t>0000037</t>
  </si>
  <si>
    <t>0000038</t>
  </si>
  <si>
    <t>0000039</t>
  </si>
  <si>
    <t>0000040</t>
  </si>
  <si>
    <t>0000041</t>
  </si>
  <si>
    <t>0000042</t>
  </si>
  <si>
    <t>MEMM- MDF</t>
  </si>
  <si>
    <t>MEMM- DMF</t>
  </si>
  <si>
    <t>0000043</t>
  </si>
  <si>
    <t>0000044</t>
  </si>
  <si>
    <t>0000045</t>
  </si>
  <si>
    <t>0000046</t>
  </si>
  <si>
    <t>SMC</t>
  </si>
  <si>
    <t>SMC-DMF</t>
  </si>
  <si>
    <t>0000047</t>
  </si>
  <si>
    <t>0000048</t>
  </si>
  <si>
    <t>0000049</t>
  </si>
  <si>
    <t>0000050</t>
  </si>
  <si>
    <t>ST JOHN METH CHURCH</t>
  </si>
  <si>
    <t>0000062</t>
  </si>
  <si>
    <t>0000063</t>
  </si>
  <si>
    <t>0000064</t>
  </si>
  <si>
    <t>0000065</t>
  </si>
  <si>
    <t>HMC</t>
  </si>
  <si>
    <t xml:space="preserve">HMC- </t>
  </si>
  <si>
    <t>Organist- Guest Organist Satellite</t>
  </si>
  <si>
    <t>Cleaner- For the day</t>
  </si>
  <si>
    <t>Generator</t>
  </si>
  <si>
    <t>Fuel For Generator</t>
  </si>
  <si>
    <t>Honouriarium ( Ministers)</t>
  </si>
  <si>
    <t>MISCELLANEOUS</t>
  </si>
  <si>
    <t>Revival - Guest Minister</t>
  </si>
  <si>
    <t>PROTOCOL</t>
  </si>
  <si>
    <t>AMASAMAN</t>
  </si>
  <si>
    <t xml:space="preserve">EAST AIRPORT </t>
  </si>
  <si>
    <t>MADINA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</si>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</sst>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_-* #,##0.00_-;\-* #,##0.00_-;_-* &quot;-&quot;??_-;_-@_-"/>
    <numFmt numFmtId="166" formatCode="[$-409]d\-mmm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4" fillId="0" borderId="0">
      <alignment vertical="center"/>
    </xf>
    <xf numFmtId="165" fontId="1" fillId="0" borderId="0" applyFont="0" applyFill="0" applyBorder="0" applyAlignment="0" applyProtection="0">
      <alignment vertical="center"/>
    </xf>
  </cellStyleXfs>
  <cellXfs count="231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3" fontId="2" fillId="0" borderId="5" xfId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43" fontId="2" fillId="0" borderId="6" xfId="1" applyFont="1" applyBorder="1" applyAlignment="1">
      <alignment horizontal="center"/>
    </xf>
    <xf numFmtId="14" fontId="0" fillId="0" borderId="4" xfId="0" applyNumberFormat="1" applyBorder="1"/>
    <xf numFmtId="0" fontId="0" fillId="0" borderId="5" xfId="0" applyBorder="1"/>
    <xf numFmtId="43" fontId="0" fillId="0" borderId="5" xfId="1" applyFont="1" applyBorder="1"/>
    <xf numFmtId="0" fontId="0" fillId="3" borderId="5" xfId="0" applyFill="1" applyBorder="1"/>
    <xf numFmtId="14" fontId="0" fillId="0" borderId="5" xfId="0" applyNumberFormat="1" applyBorder="1"/>
    <xf numFmtId="43" fontId="0" fillId="0" borderId="7" xfId="1" applyFont="1" applyBorder="1"/>
    <xf numFmtId="43" fontId="0" fillId="0" borderId="6" xfId="1" applyFont="1" applyBorder="1"/>
    <xf numFmtId="16" fontId="0" fillId="0" borderId="4" xfId="0" applyNumberFormat="1" applyBorder="1"/>
    <xf numFmtId="16" fontId="0" fillId="0" borderId="5" xfId="0" applyNumberFormat="1" applyBorder="1"/>
    <xf numFmtId="0" fontId="0" fillId="0" borderId="4" xfId="0" applyBorder="1"/>
    <xf numFmtId="43" fontId="2" fillId="0" borderId="5" xfId="1" applyFont="1" applyBorder="1"/>
    <xf numFmtId="43" fontId="2" fillId="0" borderId="6" xfId="1" applyFont="1" applyBorder="1"/>
    <xf numFmtId="0" fontId="0" fillId="0" borderId="8" xfId="0" applyBorder="1"/>
    <xf numFmtId="0" fontId="0" fillId="0" borderId="9" xfId="0" applyBorder="1"/>
    <xf numFmtId="43" fontId="0" fillId="0" borderId="9" xfId="1" applyFont="1" applyBorder="1"/>
    <xf numFmtId="43" fontId="2" fillId="0" borderId="9" xfId="1" applyFont="1" applyBorder="1"/>
    <xf numFmtId="43" fontId="2" fillId="0" borderId="10" xfId="1" applyFont="1" applyBorder="1"/>
    <xf numFmtId="43" fontId="0" fillId="0" borderId="0" xfId="0" applyNumberFormat="1"/>
    <xf numFmtId="43" fontId="0" fillId="0" borderId="5" xfId="1" applyFont="1" applyFill="1" applyBorder="1"/>
    <xf numFmtId="43" fontId="0" fillId="0" borderId="7" xfId="1" applyFont="1" applyFill="1" applyBorder="1"/>
    <xf numFmtId="43" fontId="0" fillId="0" borderId="0" xfId="1" applyFont="1" applyBorder="1"/>
    <xf numFmtId="43" fontId="2" fillId="0" borderId="0" xfId="1" applyFont="1" applyBorder="1"/>
    <xf numFmtId="16" fontId="0" fillId="0" borderId="0" xfId="0" applyNumberFormat="1"/>
    <xf numFmtId="43" fontId="0" fillId="0" borderId="0" xfId="1" applyFont="1"/>
    <xf numFmtId="164" fontId="0" fillId="0" borderId="4" xfId="0" applyNumberFormat="1" applyBorder="1"/>
    <xf numFmtId="164" fontId="0" fillId="0" borderId="5" xfId="0" applyNumberFormat="1" applyBorder="1"/>
    <xf numFmtId="0" fontId="2" fillId="0" borderId="5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6" fillId="2" borderId="14" xfId="0" applyFont="1" applyFill="1" applyBorder="1"/>
    <xf numFmtId="0" fontId="6" fillId="2" borderId="0" xfId="0" applyFont="1" applyFill="1" applyAlignment="1">
      <alignment horizontal="center"/>
    </xf>
    <xf numFmtId="0" fontId="6" fillId="2" borderId="15" xfId="0" applyFont="1" applyFill="1" applyBorder="1"/>
    <xf numFmtId="0" fontId="7" fillId="2" borderId="0" xfId="0" applyFont="1" applyFill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7" fillId="2" borderId="14" xfId="0" applyFont="1" applyFill="1" applyBorder="1"/>
    <xf numFmtId="43" fontId="6" fillId="2" borderId="16" xfId="0" applyNumberFormat="1" applyFont="1" applyFill="1" applyBorder="1"/>
    <xf numFmtId="43" fontId="6" fillId="2" borderId="15" xfId="0" applyNumberFormat="1" applyFont="1" applyFill="1" applyBorder="1"/>
    <xf numFmtId="0" fontId="6" fillId="2" borderId="17" xfId="0" applyFont="1" applyFill="1" applyBorder="1"/>
    <xf numFmtId="0" fontId="7" fillId="2" borderId="8" xfId="0" applyFont="1" applyFill="1" applyBorder="1"/>
    <xf numFmtId="0" fontId="6" fillId="2" borderId="9" xfId="0" applyFont="1" applyFill="1" applyBorder="1" applyAlignment="1">
      <alignment horizontal="center"/>
    </xf>
    <xf numFmtId="43" fontId="7" fillId="2" borderId="19" xfId="0" applyNumberFormat="1" applyFont="1" applyFill="1" applyBorder="1"/>
    <xf numFmtId="43" fontId="7" fillId="2" borderId="18" xfId="0" applyNumberFormat="1" applyFont="1" applyFill="1" applyBorder="1"/>
    <xf numFmtId="0" fontId="6" fillId="2" borderId="8" xfId="0" applyFont="1" applyFill="1" applyBorder="1"/>
    <xf numFmtId="43" fontId="6" fillId="2" borderId="0" xfId="1" applyFont="1" applyFill="1" applyBorder="1"/>
    <xf numFmtId="43" fontId="7" fillId="2" borderId="0" xfId="1" applyFont="1" applyFill="1" applyBorder="1"/>
    <xf numFmtId="43" fontId="7" fillId="2" borderId="9" xfId="0" applyNumberFormat="1" applyFont="1" applyFill="1" applyBorder="1" applyAlignment="1">
      <alignment horizontal="center"/>
    </xf>
    <xf numFmtId="0" fontId="6" fillId="2" borderId="10" xfId="0" applyFont="1" applyFill="1" applyBorder="1"/>
    <xf numFmtId="0" fontId="6" fillId="2" borderId="0" xfId="0" applyFont="1" applyFill="1"/>
    <xf numFmtId="43" fontId="7" fillId="2" borderId="0" xfId="0" applyNumberFormat="1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2" fillId="0" borderId="0" xfId="1" applyFont="1"/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5" xfId="0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2" borderId="14" xfId="0" applyFill="1" applyBorder="1"/>
    <xf numFmtId="0" fontId="0" fillId="2" borderId="0" xfId="0" applyFill="1"/>
    <xf numFmtId="0" fontId="0" fillId="2" borderId="15" xfId="0" applyFill="1" applyBorder="1"/>
    <xf numFmtId="0" fontId="10" fillId="2" borderId="14" xfId="0" applyFont="1" applyFill="1" applyBorder="1"/>
    <xf numFmtId="0" fontId="11" fillId="2" borderId="14" xfId="0" applyFont="1" applyFill="1" applyBorder="1"/>
    <xf numFmtId="0" fontId="8" fillId="2" borderId="14" xfId="0" applyFont="1" applyFill="1" applyBorder="1"/>
    <xf numFmtId="0" fontId="2" fillId="2" borderId="1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24" xfId="0" applyBorder="1"/>
    <xf numFmtId="0" fontId="0" fillId="0" borderId="31" xfId="0" applyBorder="1"/>
    <xf numFmtId="0" fontId="0" fillId="0" borderId="33" xfId="0" applyBorder="1"/>
    <xf numFmtId="0" fontId="2" fillId="0" borderId="33" xfId="0" applyFont="1" applyBorder="1"/>
    <xf numFmtId="0" fontId="0" fillId="0" borderId="32" xfId="0" applyBorder="1"/>
    <xf numFmtId="0" fontId="0" fillId="0" borderId="34" xfId="0" applyBorder="1"/>
    <xf numFmtId="0" fontId="2" fillId="0" borderId="3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0" fillId="0" borderId="35" xfId="0" applyBorder="1"/>
    <xf numFmtId="0" fontId="0" fillId="0" borderId="6" xfId="0" applyBorder="1"/>
    <xf numFmtId="0" fontId="0" fillId="0" borderId="23" xfId="0" applyBorder="1"/>
    <xf numFmtId="0" fontId="0" fillId="0" borderId="27" xfId="0" applyBorder="1"/>
    <xf numFmtId="0" fontId="0" fillId="0" borderId="10" xfId="0" applyBorder="1"/>
    <xf numFmtId="17" fontId="2" fillId="0" borderId="0" xfId="0" applyNumberFormat="1" applyFont="1"/>
    <xf numFmtId="0" fontId="2" fillId="0" borderId="34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8" fillId="0" borderId="0" xfId="0" applyFont="1"/>
    <xf numFmtId="0" fontId="9" fillId="2" borderId="11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0" xfId="0" applyFill="1" applyBorder="1"/>
    <xf numFmtId="0" fontId="8" fillId="2" borderId="8" xfId="0" applyFont="1" applyFill="1" applyBorder="1"/>
    <xf numFmtId="0" fontId="0" fillId="2" borderId="9" xfId="0" applyFill="1" applyBorder="1"/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12" fillId="0" borderId="0" xfId="0" applyFont="1"/>
    <xf numFmtId="43" fontId="2" fillId="0" borderId="5" xfId="1" applyFont="1" applyBorder="1" applyAlignment="1">
      <alignment horizontal="center" vertical="center"/>
    </xf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3" fontId="0" fillId="0" borderId="10" xfId="1" applyFont="1" applyBorder="1"/>
    <xf numFmtId="0" fontId="2" fillId="0" borderId="37" xfId="0" applyFont="1" applyBorder="1"/>
    <xf numFmtId="0" fontId="0" fillId="0" borderId="38" xfId="0" applyBorder="1"/>
    <xf numFmtId="43" fontId="0" fillId="0" borderId="38" xfId="0" applyNumberFormat="1" applyBorder="1"/>
    <xf numFmtId="43" fontId="0" fillId="0" borderId="39" xfId="0" applyNumberForma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43" fontId="0" fillId="0" borderId="15" xfId="1" applyFont="1" applyBorder="1"/>
    <xf numFmtId="0" fontId="2" fillId="0" borderId="14" xfId="0" applyFont="1" applyBorder="1"/>
    <xf numFmtId="43" fontId="2" fillId="0" borderId="0" xfId="1" applyFont="1" applyAlignment="1">
      <alignment horizontal="center"/>
    </xf>
    <xf numFmtId="43" fontId="0" fillId="0" borderId="13" xfId="1" applyFont="1" applyBorder="1"/>
    <xf numFmtId="0" fontId="2" fillId="0" borderId="12" xfId="0" applyFont="1" applyBorder="1"/>
    <xf numFmtId="43" fontId="2" fillId="0" borderId="15" xfId="1" applyFont="1" applyBorder="1" applyAlignment="1">
      <alignment horizontal="center"/>
    </xf>
    <xf numFmtId="43" fontId="0" fillId="0" borderId="38" xfId="1" applyFont="1" applyBorder="1"/>
    <xf numFmtId="43" fontId="2" fillId="0" borderId="39" xfId="1" applyFont="1" applyBorder="1"/>
    <xf numFmtId="0" fontId="2" fillId="0" borderId="14" xfId="0" applyFont="1" applyBorder="1" applyAlignment="1">
      <alignment horizontal="center"/>
    </xf>
    <xf numFmtId="43" fontId="2" fillId="0" borderId="15" xfId="1" applyFont="1" applyBorder="1"/>
    <xf numFmtId="0" fontId="2" fillId="0" borderId="4" xfId="0" applyFont="1" applyBorder="1"/>
    <xf numFmtId="0" fontId="14" fillId="0" borderId="0" xfId="2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>
      <alignment vertical="center"/>
    </xf>
    <xf numFmtId="0" fontId="11" fillId="0" borderId="0" xfId="2" applyFont="1">
      <alignment vertical="center"/>
    </xf>
    <xf numFmtId="165" fontId="11" fillId="0" borderId="0" xfId="3" applyFont="1">
      <alignment vertical="center"/>
    </xf>
    <xf numFmtId="165" fontId="14" fillId="0" borderId="0" xfId="2" applyNumberFormat="1">
      <alignment vertical="center"/>
    </xf>
    <xf numFmtId="0" fontId="8" fillId="4" borderId="0" xfId="2" applyFont="1" applyFill="1">
      <alignment vertical="center"/>
    </xf>
    <xf numFmtId="165" fontId="8" fillId="4" borderId="0" xfId="3" applyFont="1" applyFill="1">
      <alignment vertical="center"/>
    </xf>
    <xf numFmtId="0" fontId="14" fillId="0" borderId="0" xfId="2" applyAlignment="1">
      <alignment horizontal="center" vertical="center"/>
    </xf>
    <xf numFmtId="165" fontId="0" fillId="0" borderId="0" xfId="3" applyFont="1">
      <alignment vertical="center"/>
    </xf>
    <xf numFmtId="165" fontId="8" fillId="0" borderId="0" xfId="3" applyFont="1">
      <alignment vertical="center"/>
    </xf>
    <xf numFmtId="0" fontId="8" fillId="5" borderId="0" xfId="2" applyFont="1" applyFill="1">
      <alignment vertical="center"/>
    </xf>
    <xf numFmtId="165" fontId="8" fillId="5" borderId="0" xfId="2" applyNumberFormat="1" applyFont="1" applyFill="1">
      <alignment vertical="center"/>
    </xf>
    <xf numFmtId="43" fontId="14" fillId="0" borderId="0" xfId="2" applyNumberFormat="1">
      <alignment vertical="center"/>
    </xf>
    <xf numFmtId="0" fontId="0" fillId="0" borderId="5" xfId="0" quotePrefix="1" applyBorder="1"/>
    <xf numFmtId="166" fontId="0" fillId="0" borderId="5" xfId="0" applyNumberFormat="1" applyBorder="1"/>
    <xf numFmtId="166" fontId="0" fillId="0" borderId="4" xfId="0" applyNumberFormat="1" applyBorder="1"/>
    <xf numFmtId="166" fontId="2" fillId="0" borderId="5" xfId="0" applyNumberFormat="1" applyFont="1" applyBorder="1" applyAlignment="1">
      <alignment horizontal="center"/>
    </xf>
    <xf numFmtId="165" fontId="13" fillId="0" borderId="0" xfId="3" applyFont="1">
      <alignment vertical="center"/>
    </xf>
    <xf numFmtId="165" fontId="16" fillId="0" borderId="0" xfId="3" applyFont="1">
      <alignment vertical="center"/>
    </xf>
    <xf numFmtId="0" fontId="0" fillId="0" borderId="0" xfId="2" applyFont="1">
      <alignment vertical="center"/>
    </xf>
    <xf numFmtId="165" fontId="0" fillId="0" borderId="0" xfId="3" applyFont="1" applyAlignment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43" fontId="2" fillId="0" borderId="5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8" fillId="0" borderId="31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2" fillId="0" borderId="25" xfId="0" applyFont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12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14" fillId="0" borderId="0" xfId="2" applyAlignment="1">
      <alignment horizontal="center" vertical="center"/>
    </xf>
    <xf numFmtId="0" fontId="17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>
      <alignment vertical="center"/>
    </xf>
    <xf numFmtId="165" fontId="4" fillId="0" borderId="0" xfId="3" applyFont="1">
      <alignment vertical="center"/>
    </xf>
    <xf numFmtId="0" fontId="17" fillId="0" borderId="0" xfId="2" applyFont="1" applyAlignment="1">
      <alignment horizontal="left" vertical="center"/>
    </xf>
    <xf numFmtId="0" fontId="17" fillId="0" borderId="5" xfId="2" applyFont="1" applyBorder="1" applyAlignment="1">
      <alignment horizontal="center" vertical="center"/>
    </xf>
    <xf numFmtId="0" fontId="17" fillId="0" borderId="5" xfId="2" applyFont="1" applyBorder="1">
      <alignment vertical="center"/>
    </xf>
    <xf numFmtId="0" fontId="4" fillId="0" borderId="5" xfId="2" applyFont="1" applyBorder="1" applyAlignment="1">
      <alignment horizontal="center" vertical="center"/>
    </xf>
    <xf numFmtId="0" fontId="4" fillId="0" borderId="5" xfId="2" applyFont="1" applyBorder="1">
      <alignment vertical="center"/>
    </xf>
    <xf numFmtId="165" fontId="4" fillId="0" borderId="5" xfId="3" applyFont="1" applyBorder="1">
      <alignment vertical="center"/>
    </xf>
    <xf numFmtId="0" fontId="17" fillId="0" borderId="5" xfId="2" applyFont="1" applyBorder="1" applyAlignment="1">
      <alignment horizontal="left" vertical="center"/>
    </xf>
    <xf numFmtId="165" fontId="17" fillId="0" borderId="5" xfId="3" applyFont="1" applyBorder="1">
      <alignment vertical="center"/>
    </xf>
    <xf numFmtId="0" fontId="4" fillId="0" borderId="0" xfId="2" applyFont="1" applyBorder="1" applyAlignment="1">
      <alignment horizontal="center" vertical="center"/>
    </xf>
    <xf numFmtId="0" fontId="4" fillId="0" borderId="0" xfId="2" applyFont="1" applyBorder="1">
      <alignment vertical="center"/>
    </xf>
    <xf numFmtId="165" fontId="17" fillId="0" borderId="0" xfId="3" applyFont="1" applyBorder="1">
      <alignment vertical="center"/>
    </xf>
    <xf numFmtId="43" fontId="17" fillId="0" borderId="0" xfId="2" applyNumberFormat="1" applyFont="1">
      <alignment vertical="center"/>
    </xf>
    <xf numFmtId="0" fontId="17" fillId="0" borderId="0" xfId="2" applyFont="1" applyAlignment="1">
      <alignment vertical="center"/>
    </xf>
    <xf numFmtId="0" fontId="3" fillId="0" borderId="0" xfId="2" applyFont="1" applyAlignment="1">
      <alignment vertical="center"/>
    </xf>
  </cellXfs>
  <cellStyles count="4">
    <cellStyle name="Comma" xfId="1" builtinId="3"/>
    <cellStyle name="Comma 2" xfId="3" xr:uid="{D5D970C6-244A-4B2B-AADE-5704455A258D}"/>
    <cellStyle name="Normal" xfId="0" builtinId="0"/>
    <cellStyle name="Normal 2" xfId="2" xr:uid="{3FA9233C-26D3-4901-8F5C-275D4FDAF5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trick.Nyarkoh\OneDrive%20-%20Federated%20Commodities%20Limited\Desktop\New%20folder\TRINITY%20METHODIST\2025\SECTION\CIRCUIT\Finance\FINANCIAL%20REPORT%20FOR%202025-MSI-M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Rec &amp; Pmt"/>
      <sheetName val="TB"/>
      <sheetName val="RECEIPTS AND PAYMENT ANANLYSIS"/>
      <sheetName val="weekly income statement"/>
      <sheetName val="Expens"/>
      <sheetName val="MEMBERS DUES ANALYSIS 17"/>
      <sheetName val="TITHE"/>
      <sheetName val="CASH BOOK"/>
      <sheetName val="ASSETS"/>
      <sheetName val="RETURNS FOR CIRCUIT"/>
      <sheetName val="Stage"/>
      <sheetName val="Sheet2"/>
      <sheetName val="CASH BOOK 1"/>
      <sheetName val="RETURNS FOR CIRCUIT (WK)"/>
      <sheetName val="Sheet1"/>
      <sheetName val="EXP DETAILS"/>
    </sheetNames>
    <sheetDataSet>
      <sheetData sheetId="0" refreshError="1"/>
      <sheetData sheetId="1">
        <row r="90">
          <cell r="B90">
            <v>9000</v>
          </cell>
        </row>
      </sheetData>
      <sheetData sheetId="2" refreshError="1"/>
      <sheetData sheetId="3">
        <row r="72">
          <cell r="C72">
            <v>68600.14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26">
          <cell r="L26">
            <v>-85383.859999999986</v>
          </cell>
          <cell r="M26">
            <v>54923.56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3"/>
  <sheetViews>
    <sheetView topLeftCell="B253" workbookViewId="0">
      <selection activeCell="A251" sqref="A251"/>
    </sheetView>
  </sheetViews>
  <sheetFormatPr defaultRowHeight="14.4"/>
  <cols>
    <col min="1" max="1" width="9.5546875" bestFit="1" customWidth="1"/>
    <col min="2" max="2" width="16.109375" customWidth="1"/>
    <col min="4" max="7" width="18" customWidth="1"/>
    <col min="8" max="8" width="3.88671875" customWidth="1"/>
    <col min="9" max="9" width="9.5546875" bestFit="1" customWidth="1"/>
    <col min="10" max="10" width="26.33203125" customWidth="1"/>
    <col min="11" max="11" width="10.88671875" customWidth="1"/>
    <col min="12" max="12" width="8.109375" customWidth="1"/>
    <col min="13" max="13" width="14.33203125" customWidth="1"/>
    <col min="14" max="14" width="12.5546875" customWidth="1"/>
    <col min="15" max="15" width="14.33203125" customWidth="1"/>
  </cols>
  <sheetData>
    <row r="1" spans="1:15" ht="15.6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2"/>
    </row>
    <row r="2" spans="1:15" ht="15.6">
      <c r="A2" s="1" t="s">
        <v>1</v>
      </c>
      <c r="B2" s="2"/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4"/>
    </row>
    <row r="3" spans="1:15">
      <c r="A3" s="156" t="s">
        <v>2</v>
      </c>
      <c r="B3" s="157"/>
      <c r="C3" s="157"/>
      <c r="D3" s="157"/>
      <c r="E3" s="157"/>
      <c r="F3" s="157"/>
      <c r="G3" s="157"/>
      <c r="H3" s="5"/>
      <c r="I3" s="158" t="s">
        <v>3</v>
      </c>
      <c r="J3" s="157"/>
      <c r="K3" s="157"/>
      <c r="L3" s="157"/>
      <c r="M3" s="157"/>
      <c r="N3" s="157"/>
      <c r="O3" s="159"/>
    </row>
    <row r="4" spans="1:15">
      <c r="A4" s="6" t="s">
        <v>4</v>
      </c>
      <c r="B4" s="7" t="s">
        <v>5</v>
      </c>
      <c r="C4" s="7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9"/>
      <c r="I4" s="7" t="s">
        <v>4</v>
      </c>
      <c r="J4" s="7" t="s">
        <v>5</v>
      </c>
      <c r="K4" s="7" t="s">
        <v>6</v>
      </c>
      <c r="L4" s="8" t="s">
        <v>7</v>
      </c>
      <c r="M4" s="8" t="s">
        <v>8</v>
      </c>
      <c r="N4" s="8" t="s">
        <v>9</v>
      </c>
      <c r="O4" s="10" t="s">
        <v>10</v>
      </c>
    </row>
    <row r="5" spans="1:15">
      <c r="A5" s="6"/>
      <c r="B5" s="7"/>
      <c r="C5" s="7"/>
      <c r="D5" s="8" t="s">
        <v>11</v>
      </c>
      <c r="E5" s="8" t="s">
        <v>11</v>
      </c>
      <c r="F5" s="8" t="s">
        <v>11</v>
      </c>
      <c r="G5" s="8" t="s">
        <v>11</v>
      </c>
      <c r="H5" s="9"/>
      <c r="I5" s="7"/>
      <c r="J5" s="7"/>
      <c r="K5" s="7"/>
      <c r="L5" s="8" t="s">
        <v>11</v>
      </c>
      <c r="M5" s="8" t="s">
        <v>11</v>
      </c>
      <c r="N5" s="8" t="s">
        <v>11</v>
      </c>
      <c r="O5" s="10" t="s">
        <v>11</v>
      </c>
    </row>
    <row r="6" spans="1:15">
      <c r="A6" s="11"/>
      <c r="B6" s="12" t="s">
        <v>12</v>
      </c>
      <c r="C6" s="12"/>
      <c r="D6" s="13"/>
      <c r="E6" s="13"/>
      <c r="F6" s="13"/>
      <c r="G6" s="13">
        <v>1312</v>
      </c>
      <c r="H6" s="14"/>
      <c r="I6" s="36">
        <v>45683</v>
      </c>
      <c r="J6" s="12" t="s">
        <v>27</v>
      </c>
      <c r="K6" s="12"/>
      <c r="L6" s="13"/>
      <c r="M6" s="13"/>
      <c r="N6" s="16"/>
      <c r="O6" s="17">
        <v>500</v>
      </c>
    </row>
    <row r="7" spans="1:15">
      <c r="A7" s="18">
        <v>45688</v>
      </c>
      <c r="B7" s="19" t="s">
        <v>23</v>
      </c>
      <c r="C7" s="12"/>
      <c r="D7" s="13"/>
      <c r="E7" s="13"/>
      <c r="F7" s="13"/>
      <c r="G7" s="13">
        <v>1974.5</v>
      </c>
      <c r="H7" s="14"/>
      <c r="I7" s="19"/>
      <c r="J7" s="12"/>
      <c r="K7" s="12"/>
      <c r="L7" s="13"/>
      <c r="M7" s="13"/>
      <c r="N7" s="16"/>
      <c r="O7" s="17"/>
    </row>
    <row r="8" spans="1:15">
      <c r="A8" s="20"/>
      <c r="B8" s="12"/>
      <c r="C8" s="12"/>
      <c r="D8" s="13"/>
      <c r="E8" s="13"/>
      <c r="F8" s="13"/>
      <c r="G8" s="13"/>
      <c r="H8" s="14"/>
      <c r="I8" s="12"/>
      <c r="J8" s="12"/>
      <c r="K8" s="12"/>
      <c r="L8" s="13"/>
      <c r="M8" s="13"/>
      <c r="N8" s="16"/>
      <c r="O8" s="17"/>
    </row>
    <row r="9" spans="1:15">
      <c r="A9" s="20"/>
      <c r="B9" s="12"/>
      <c r="C9" s="12"/>
      <c r="D9" s="13"/>
      <c r="E9" s="13"/>
      <c r="F9" s="13"/>
      <c r="G9" s="13"/>
      <c r="H9" s="14"/>
      <c r="I9" s="12"/>
      <c r="J9" s="12"/>
      <c r="K9" s="12"/>
      <c r="L9" s="13"/>
      <c r="M9" s="13"/>
      <c r="N9" s="16"/>
      <c r="O9" s="17"/>
    </row>
    <row r="10" spans="1:15">
      <c r="A10" s="20"/>
      <c r="B10" s="12"/>
      <c r="C10" s="12"/>
      <c r="D10" s="21">
        <f>SUM(D6:D9)</f>
        <v>0</v>
      </c>
      <c r="E10" s="21">
        <f>SUM(E6:E9)</f>
        <v>0</v>
      </c>
      <c r="F10" s="21">
        <f>SUM(F6:F9)</f>
        <v>0</v>
      </c>
      <c r="G10" s="21">
        <f>SUM(G6:G9)</f>
        <v>3286.5</v>
      </c>
      <c r="H10" s="14"/>
      <c r="I10" s="12"/>
      <c r="J10" s="12"/>
      <c r="K10" s="12"/>
      <c r="L10" s="21">
        <f>SUM(L6:L9)</f>
        <v>0</v>
      </c>
      <c r="M10" s="21">
        <f>SUM(M6:M9)</f>
        <v>0</v>
      </c>
      <c r="N10" s="21">
        <f>SUM(N6:N9)</f>
        <v>0</v>
      </c>
      <c r="O10" s="22">
        <f>SUM(O6:O9)</f>
        <v>500</v>
      </c>
    </row>
    <row r="11" spans="1:15" ht="15" thickBot="1">
      <c r="A11" s="23"/>
      <c r="B11" s="24"/>
      <c r="C11" s="24"/>
      <c r="D11" s="25"/>
      <c r="E11" s="25"/>
      <c r="F11" s="25"/>
      <c r="G11" s="25">
        <f>G10-G6</f>
        <v>1974.5</v>
      </c>
      <c r="H11" s="24"/>
      <c r="I11" s="24" t="s">
        <v>13</v>
      </c>
      <c r="J11" s="24"/>
      <c r="K11" s="24"/>
      <c r="L11" s="26">
        <f>D10-L10</f>
        <v>0</v>
      </c>
      <c r="M11" s="26">
        <f>E10-M10</f>
        <v>0</v>
      </c>
      <c r="N11" s="26">
        <f>F10-N10</f>
        <v>0</v>
      </c>
      <c r="O11" s="27">
        <f>G10-O10</f>
        <v>2786.5</v>
      </c>
    </row>
    <row r="12" spans="1:15">
      <c r="O12" s="28">
        <f>M10+O10</f>
        <v>500</v>
      </c>
    </row>
    <row r="14" spans="1:15">
      <c r="A14" t="s">
        <v>14</v>
      </c>
    </row>
    <row r="15" spans="1:15">
      <c r="A15" s="156" t="s">
        <v>2</v>
      </c>
      <c r="B15" s="157"/>
      <c r="C15" s="157"/>
      <c r="D15" s="157"/>
      <c r="E15" s="157"/>
      <c r="F15" s="157"/>
      <c r="G15" s="157"/>
      <c r="H15" s="5"/>
      <c r="I15" s="158" t="s">
        <v>3</v>
      </c>
      <c r="J15" s="157"/>
      <c r="K15" s="157"/>
      <c r="L15" s="157"/>
      <c r="M15" s="157"/>
      <c r="N15" s="157"/>
      <c r="O15" s="159"/>
    </row>
    <row r="16" spans="1:15">
      <c r="A16" s="6" t="s">
        <v>4</v>
      </c>
      <c r="B16" s="7" t="s">
        <v>5</v>
      </c>
      <c r="C16" s="7" t="s">
        <v>6</v>
      </c>
      <c r="D16" s="8" t="s">
        <v>7</v>
      </c>
      <c r="E16" s="8" t="s">
        <v>8</v>
      </c>
      <c r="F16" s="8" t="s">
        <v>9</v>
      </c>
      <c r="G16" s="8" t="s">
        <v>10</v>
      </c>
      <c r="H16" s="9"/>
      <c r="I16" s="7" t="s">
        <v>4</v>
      </c>
      <c r="J16" s="7" t="s">
        <v>5</v>
      </c>
      <c r="K16" s="7" t="s">
        <v>6</v>
      </c>
      <c r="L16" s="8" t="s">
        <v>7</v>
      </c>
      <c r="M16" s="8" t="s">
        <v>8</v>
      </c>
      <c r="N16" s="8" t="s">
        <v>9</v>
      </c>
      <c r="O16" s="10" t="s">
        <v>10</v>
      </c>
    </row>
    <row r="17" spans="1:16">
      <c r="A17" s="6"/>
      <c r="B17" s="7"/>
      <c r="C17" s="7"/>
      <c r="D17" s="8" t="s">
        <v>11</v>
      </c>
      <c r="E17" s="8" t="s">
        <v>11</v>
      </c>
      <c r="F17" s="8" t="s">
        <v>11</v>
      </c>
      <c r="G17" s="8" t="s">
        <v>11</v>
      </c>
      <c r="H17" s="9"/>
      <c r="I17" s="7"/>
      <c r="J17" s="7"/>
      <c r="K17" s="7"/>
      <c r="L17" s="8" t="s">
        <v>11</v>
      </c>
      <c r="M17" s="8" t="s">
        <v>11</v>
      </c>
      <c r="N17" s="8" t="s">
        <v>11</v>
      </c>
      <c r="O17" s="10" t="s">
        <v>11</v>
      </c>
    </row>
    <row r="18" spans="1:16">
      <c r="A18" s="35">
        <v>45689</v>
      </c>
      <c r="B18" s="12" t="s">
        <v>12</v>
      </c>
      <c r="C18" s="12"/>
      <c r="D18" s="13">
        <f>L11</f>
        <v>0</v>
      </c>
      <c r="E18" s="13">
        <f>M11</f>
        <v>0</v>
      </c>
      <c r="F18" s="13">
        <f>N11</f>
        <v>0</v>
      </c>
      <c r="G18" s="13">
        <f t="shared" ref="G18" si="0">O11</f>
        <v>2786.5</v>
      </c>
      <c r="H18" s="14"/>
      <c r="I18" s="15"/>
      <c r="J18" s="12"/>
      <c r="K18" s="12"/>
      <c r="L18" s="13"/>
      <c r="M18" s="13"/>
      <c r="N18" s="16"/>
      <c r="O18" s="17"/>
    </row>
    <row r="19" spans="1:16">
      <c r="A19" s="18">
        <v>45714</v>
      </c>
      <c r="B19" s="12" t="s">
        <v>24</v>
      </c>
      <c r="C19" s="12"/>
      <c r="D19" s="13"/>
      <c r="E19" s="13"/>
      <c r="F19" s="13"/>
      <c r="G19" s="13">
        <v>147.4</v>
      </c>
      <c r="H19" s="14"/>
      <c r="I19" s="19"/>
      <c r="J19" s="12"/>
      <c r="K19" s="12"/>
      <c r="L19" s="13"/>
      <c r="M19" s="13"/>
      <c r="N19" s="16"/>
      <c r="O19" s="17"/>
    </row>
    <row r="20" spans="1:16">
      <c r="A20" s="20"/>
      <c r="B20" s="12"/>
      <c r="C20" s="12"/>
      <c r="D20" s="13"/>
      <c r="E20" s="13"/>
      <c r="F20" s="13"/>
      <c r="G20" s="13"/>
      <c r="H20" s="14"/>
      <c r="I20" s="19"/>
      <c r="J20" s="12"/>
      <c r="K20" s="12"/>
      <c r="L20" s="13"/>
      <c r="M20" s="13"/>
      <c r="N20" s="16"/>
      <c r="O20" s="17"/>
    </row>
    <row r="21" spans="1:16">
      <c r="A21" s="20"/>
      <c r="B21" s="12"/>
      <c r="C21" s="12"/>
      <c r="D21" s="13"/>
      <c r="E21" s="13"/>
      <c r="F21" s="13"/>
      <c r="G21" s="13"/>
      <c r="H21" s="14"/>
      <c r="I21" s="19"/>
      <c r="J21" s="12"/>
      <c r="K21" s="12"/>
      <c r="L21" s="13"/>
      <c r="M21" s="29"/>
      <c r="N21" s="30"/>
      <c r="O21" s="17"/>
      <c r="P21">
        <v>2000</v>
      </c>
    </row>
    <row r="22" spans="1:16">
      <c r="A22" s="20"/>
      <c r="B22" s="12"/>
      <c r="C22" s="12"/>
      <c r="D22" s="13"/>
      <c r="E22" s="13"/>
      <c r="F22" s="13"/>
      <c r="G22" s="13"/>
      <c r="H22" s="14"/>
      <c r="I22" s="12"/>
      <c r="J22" s="12"/>
      <c r="K22" s="12"/>
      <c r="L22" s="13"/>
      <c r="M22" s="13"/>
      <c r="N22" s="16"/>
      <c r="O22" s="17"/>
    </row>
    <row r="23" spans="1:16">
      <c r="A23" s="20"/>
      <c r="B23" s="12"/>
      <c r="C23" s="12"/>
      <c r="D23" s="21">
        <f>SUM(D18:D22)</f>
        <v>0</v>
      </c>
      <c r="E23" s="21">
        <f>SUM(E18:E22)</f>
        <v>0</v>
      </c>
      <c r="F23" s="21">
        <f>SUM(F18:F22)</f>
        <v>0</v>
      </c>
      <c r="G23" s="21">
        <f>SUM(G18:G22)</f>
        <v>2933.9</v>
      </c>
      <c r="H23" s="14"/>
      <c r="I23" s="12"/>
      <c r="J23" s="12"/>
      <c r="K23" s="12"/>
      <c r="L23" s="21">
        <f>SUM(L18:L22)</f>
        <v>0</v>
      </c>
      <c r="M23" s="21">
        <f>SUM(M18:M22)</f>
        <v>0</v>
      </c>
      <c r="N23" s="21">
        <f>SUM(N18:N22)</f>
        <v>0</v>
      </c>
      <c r="O23" s="22">
        <f>SUM(O18:O22)</f>
        <v>0</v>
      </c>
    </row>
    <row r="24" spans="1:16" ht="15" thickBot="1">
      <c r="A24" s="23"/>
      <c r="B24" s="24"/>
      <c r="C24" s="24"/>
      <c r="D24" s="25"/>
      <c r="E24" s="25"/>
      <c r="F24" s="25"/>
      <c r="G24" s="25">
        <f>G23-G18</f>
        <v>147.40000000000009</v>
      </c>
      <c r="H24" s="24"/>
      <c r="I24" s="24" t="s">
        <v>13</v>
      </c>
      <c r="J24" s="24"/>
      <c r="K24" s="24"/>
      <c r="L24" s="26">
        <f>D23-L23</f>
        <v>0</v>
      </c>
      <c r="M24" s="26">
        <f>E23-M23</f>
        <v>0</v>
      </c>
      <c r="N24" s="26">
        <f>F23-N23</f>
        <v>0</v>
      </c>
      <c r="O24" s="27">
        <f>G23-O23</f>
        <v>2933.9</v>
      </c>
    </row>
    <row r="25" spans="1:16">
      <c r="D25" s="31"/>
      <c r="E25" s="31"/>
      <c r="F25" s="31"/>
      <c r="G25" s="31"/>
      <c r="L25" s="32"/>
      <c r="M25" s="32">
        <f>M23+O23</f>
        <v>0</v>
      </c>
      <c r="N25" s="32"/>
      <c r="O25" s="32">
        <f>M25-'[1]RECEIPTS AND PAYMENT ANANLYSIS'!C72</f>
        <v>-68600.14</v>
      </c>
    </row>
    <row r="26" spans="1:16">
      <c r="A26" t="s">
        <v>15</v>
      </c>
    </row>
    <row r="27" spans="1:16">
      <c r="A27" s="156" t="s">
        <v>2</v>
      </c>
      <c r="B27" s="157"/>
      <c r="C27" s="157"/>
      <c r="D27" s="157"/>
      <c r="E27" s="157"/>
      <c r="F27" s="157"/>
      <c r="G27" s="157"/>
      <c r="H27" s="5"/>
      <c r="I27" s="158" t="s">
        <v>3</v>
      </c>
      <c r="J27" s="157"/>
      <c r="K27" s="157"/>
      <c r="L27" s="157"/>
      <c r="M27" s="157"/>
      <c r="N27" s="157"/>
      <c r="O27" s="159"/>
    </row>
    <row r="28" spans="1:16">
      <c r="A28" s="6" t="s">
        <v>4</v>
      </c>
      <c r="B28" s="7" t="s">
        <v>5</v>
      </c>
      <c r="C28" s="7" t="s">
        <v>6</v>
      </c>
      <c r="D28" s="8" t="s">
        <v>7</v>
      </c>
      <c r="E28" s="8" t="s">
        <v>8</v>
      </c>
      <c r="F28" s="8" t="s">
        <v>9</v>
      </c>
      <c r="G28" s="8" t="s">
        <v>10</v>
      </c>
      <c r="H28" s="9"/>
      <c r="I28" s="7" t="s">
        <v>4</v>
      </c>
      <c r="J28" s="7" t="s">
        <v>5</v>
      </c>
      <c r="K28" s="7" t="s">
        <v>6</v>
      </c>
      <c r="L28" s="8" t="s">
        <v>7</v>
      </c>
      <c r="M28" s="8" t="s">
        <v>8</v>
      </c>
      <c r="N28" s="8" t="s">
        <v>9</v>
      </c>
      <c r="O28" s="10" t="s">
        <v>10</v>
      </c>
    </row>
    <row r="29" spans="1:16">
      <c r="A29" s="6"/>
      <c r="B29" s="7"/>
      <c r="C29" s="7"/>
      <c r="D29" s="8" t="s">
        <v>11</v>
      </c>
      <c r="E29" s="8" t="s">
        <v>11</v>
      </c>
      <c r="F29" s="8" t="s">
        <v>11</v>
      </c>
      <c r="G29" s="8" t="s">
        <v>11</v>
      </c>
      <c r="H29" s="9"/>
      <c r="I29" s="7"/>
      <c r="J29" s="7"/>
      <c r="K29" s="7"/>
      <c r="L29" s="8" t="s">
        <v>11</v>
      </c>
      <c r="M29" s="8" t="s">
        <v>11</v>
      </c>
      <c r="N29" s="8" t="s">
        <v>11</v>
      </c>
      <c r="O29" s="10" t="s">
        <v>11</v>
      </c>
    </row>
    <row r="30" spans="1:16">
      <c r="A30" s="35">
        <v>45717</v>
      </c>
      <c r="B30" s="12" t="s">
        <v>12</v>
      </c>
      <c r="C30" s="12"/>
      <c r="D30" s="13">
        <f>L24</f>
        <v>0</v>
      </c>
      <c r="E30" s="13">
        <f>M24</f>
        <v>0</v>
      </c>
      <c r="F30" s="13">
        <f>N24</f>
        <v>0</v>
      </c>
      <c r="G30" s="13">
        <f t="shared" ref="G30" si="1">O24</f>
        <v>2933.9</v>
      </c>
      <c r="H30" s="14"/>
      <c r="I30" s="36">
        <v>45717</v>
      </c>
      <c r="J30" s="12" t="s">
        <v>28</v>
      </c>
      <c r="K30" s="12"/>
      <c r="L30" s="13"/>
      <c r="M30" s="13"/>
      <c r="N30" s="16"/>
      <c r="O30" s="17">
        <v>100</v>
      </c>
    </row>
    <row r="31" spans="1:16">
      <c r="A31" s="18">
        <v>45746</v>
      </c>
      <c r="B31" s="12" t="s">
        <v>25</v>
      </c>
      <c r="C31" s="12"/>
      <c r="D31" s="13"/>
      <c r="E31" s="13"/>
      <c r="F31" s="13"/>
      <c r="G31" s="13">
        <v>1405</v>
      </c>
      <c r="H31" s="14"/>
      <c r="I31" s="19">
        <v>45716</v>
      </c>
      <c r="J31" s="12" t="s">
        <v>29</v>
      </c>
      <c r="K31" s="12"/>
      <c r="L31" s="13"/>
      <c r="M31" s="13"/>
      <c r="N31" s="16"/>
      <c r="O31" s="17">
        <v>1000</v>
      </c>
    </row>
    <row r="32" spans="1:16">
      <c r="A32" s="18"/>
      <c r="B32" s="12"/>
      <c r="C32" s="12"/>
      <c r="D32" s="13"/>
      <c r="E32" s="13"/>
      <c r="F32" s="13"/>
      <c r="G32" s="13"/>
      <c r="H32" s="14"/>
      <c r="I32" s="12"/>
      <c r="J32" s="12" t="s">
        <v>30</v>
      </c>
      <c r="K32" s="12"/>
      <c r="L32" s="13"/>
      <c r="M32" s="13"/>
      <c r="N32" s="16"/>
      <c r="O32" s="17">
        <v>500</v>
      </c>
    </row>
    <row r="33" spans="1:15">
      <c r="A33" s="18"/>
      <c r="B33" s="12"/>
      <c r="C33" s="12"/>
      <c r="D33" s="13"/>
      <c r="E33" s="13"/>
      <c r="F33" s="13"/>
      <c r="G33" s="13"/>
      <c r="H33" s="14"/>
      <c r="I33" s="19"/>
      <c r="J33" s="12"/>
      <c r="K33" s="12"/>
      <c r="L33" s="13"/>
      <c r="M33" s="13"/>
      <c r="N33" s="16"/>
      <c r="O33" s="17"/>
    </row>
    <row r="34" spans="1:15">
      <c r="A34" s="18"/>
      <c r="B34" s="12"/>
      <c r="C34" s="12"/>
      <c r="D34" s="13"/>
      <c r="E34" s="13"/>
      <c r="F34" s="13"/>
      <c r="G34" s="13"/>
      <c r="H34" s="14"/>
      <c r="I34" s="19"/>
      <c r="J34" s="12"/>
      <c r="K34" s="12"/>
      <c r="L34" s="13"/>
      <c r="M34" s="13"/>
      <c r="N34" s="16"/>
      <c r="O34" s="17"/>
    </row>
    <row r="35" spans="1:15">
      <c r="A35" s="20"/>
      <c r="B35" s="12"/>
      <c r="C35" s="12"/>
      <c r="D35" s="13"/>
      <c r="E35" s="13"/>
      <c r="F35" s="13"/>
      <c r="G35" s="13"/>
      <c r="H35" s="14"/>
      <c r="I35" s="12"/>
      <c r="J35" s="12"/>
      <c r="K35" s="12"/>
      <c r="L35" s="13"/>
      <c r="M35" s="13"/>
      <c r="N35" s="16"/>
      <c r="O35" s="17"/>
    </row>
    <row r="36" spans="1:15">
      <c r="A36" s="20"/>
      <c r="B36" s="12"/>
      <c r="C36" s="12"/>
      <c r="D36" s="13"/>
      <c r="E36" s="13"/>
      <c r="F36" s="13"/>
      <c r="G36" s="13"/>
      <c r="H36" s="14"/>
      <c r="I36" s="12"/>
      <c r="J36" s="12"/>
      <c r="K36" s="12"/>
      <c r="L36" s="13"/>
      <c r="M36" s="13"/>
      <c r="N36" s="16"/>
      <c r="O36" s="17"/>
    </row>
    <row r="37" spans="1:15">
      <c r="A37" s="20"/>
      <c r="B37" s="12"/>
      <c r="C37" s="12"/>
      <c r="D37" s="21">
        <f>SUM(D30:D36)</f>
        <v>0</v>
      </c>
      <c r="E37" s="21">
        <f>SUM(E30:E36)</f>
        <v>0</v>
      </c>
      <c r="F37" s="21">
        <f>SUM(F30:F36)</f>
        <v>0</v>
      </c>
      <c r="G37" s="21">
        <f>SUM(G30:G36)</f>
        <v>4338.8999999999996</v>
      </c>
      <c r="H37" s="14"/>
      <c r="I37" s="12"/>
      <c r="J37" s="12"/>
      <c r="K37" s="12"/>
      <c r="L37" s="21">
        <f>SUM(L30:L36)</f>
        <v>0</v>
      </c>
      <c r="M37" s="21">
        <f>SUM(M30:M36)</f>
        <v>0</v>
      </c>
      <c r="N37" s="21">
        <f>SUM(N30:N36)</f>
        <v>0</v>
      </c>
      <c r="O37" s="22">
        <f>SUM(O30:O36)</f>
        <v>1600</v>
      </c>
    </row>
    <row r="38" spans="1:15" ht="15" thickBot="1">
      <c r="A38" s="23"/>
      <c r="B38" s="24"/>
      <c r="C38" s="24"/>
      <c r="D38" s="25"/>
      <c r="E38" s="25"/>
      <c r="F38" s="25"/>
      <c r="G38" s="25">
        <f>G37-G30</f>
        <v>1404.9999999999995</v>
      </c>
      <c r="H38" s="24"/>
      <c r="I38" s="24" t="s">
        <v>13</v>
      </c>
      <c r="J38" s="24"/>
      <c r="K38" s="24"/>
      <c r="L38" s="26">
        <f>D37-L37</f>
        <v>0</v>
      </c>
      <c r="M38" s="26">
        <f>E37-M37</f>
        <v>0</v>
      </c>
      <c r="N38" s="26">
        <f>F37-N37</f>
        <v>0</v>
      </c>
      <c r="O38" s="27">
        <f>G37-O37</f>
        <v>2738.8999999999996</v>
      </c>
    </row>
    <row r="39" spans="1:15">
      <c r="M39" s="34"/>
      <c r="N39" s="34"/>
      <c r="O39" s="28"/>
    </row>
    <row r="40" spans="1:15">
      <c r="M40" s="28"/>
      <c r="N40" s="28"/>
      <c r="O40" s="28">
        <f>O38-O39</f>
        <v>2738.8999999999996</v>
      </c>
    </row>
    <row r="41" spans="1:15">
      <c r="M41" s="28">
        <f>'[1]CASH BOOK'!L26</f>
        <v>-85383.859999999986</v>
      </c>
      <c r="O41" s="28">
        <f>'[1]CASH BOOK'!M26</f>
        <v>54923.56</v>
      </c>
    </row>
    <row r="42" spans="1:15">
      <c r="M42" s="28">
        <f>M41-M39-N38</f>
        <v>-85383.859999999986</v>
      </c>
      <c r="O42" s="28">
        <f>O41-O39</f>
        <v>54923.56</v>
      </c>
    </row>
    <row r="43" spans="1:15">
      <c r="M43" s="34">
        <v>2000</v>
      </c>
      <c r="O43" s="28">
        <f>+O42+M42</f>
        <v>-30460.299999999988</v>
      </c>
    </row>
    <row r="44" spans="1:15">
      <c r="M44" s="28">
        <f>M42-M43</f>
        <v>-87383.859999999986</v>
      </c>
    </row>
    <row r="45" spans="1:15">
      <c r="A45" t="s">
        <v>16</v>
      </c>
    </row>
    <row r="46" spans="1:15">
      <c r="A46" s="156" t="s">
        <v>2</v>
      </c>
      <c r="B46" s="157"/>
      <c r="C46" s="157"/>
      <c r="D46" s="157"/>
      <c r="E46" s="157"/>
      <c r="F46" s="157"/>
      <c r="G46" s="157"/>
      <c r="H46" s="5"/>
      <c r="I46" s="158" t="s">
        <v>3</v>
      </c>
      <c r="J46" s="157"/>
      <c r="K46" s="157"/>
      <c r="L46" s="157"/>
      <c r="M46" s="157"/>
      <c r="N46" s="157"/>
      <c r="O46" s="159"/>
    </row>
    <row r="47" spans="1:15">
      <c r="A47" s="6" t="s">
        <v>4</v>
      </c>
      <c r="B47" s="7" t="s">
        <v>5</v>
      </c>
      <c r="C47" s="7" t="s">
        <v>6</v>
      </c>
      <c r="D47" s="8" t="s">
        <v>7</v>
      </c>
      <c r="E47" s="8" t="s">
        <v>8</v>
      </c>
      <c r="F47" s="8" t="s">
        <v>9</v>
      </c>
      <c r="G47" s="8" t="s">
        <v>10</v>
      </c>
      <c r="H47" s="9"/>
      <c r="I47" s="7" t="s">
        <v>4</v>
      </c>
      <c r="J47" s="7" t="s">
        <v>5</v>
      </c>
      <c r="K47" s="7" t="s">
        <v>6</v>
      </c>
      <c r="L47" s="8" t="s">
        <v>7</v>
      </c>
      <c r="M47" s="8" t="s">
        <v>8</v>
      </c>
      <c r="N47" s="8" t="s">
        <v>9</v>
      </c>
      <c r="O47" s="10" t="s">
        <v>10</v>
      </c>
    </row>
    <row r="48" spans="1:15">
      <c r="A48" s="6"/>
      <c r="B48" s="7"/>
      <c r="C48" s="7"/>
      <c r="D48" s="8" t="s">
        <v>11</v>
      </c>
      <c r="E48" s="8" t="s">
        <v>11</v>
      </c>
      <c r="F48" s="8" t="s">
        <v>11</v>
      </c>
      <c r="G48" s="8" t="s">
        <v>11</v>
      </c>
      <c r="H48" s="9"/>
      <c r="I48" s="7"/>
      <c r="J48" s="7"/>
      <c r="K48" s="7"/>
      <c r="L48" s="8" t="s">
        <v>11</v>
      </c>
      <c r="M48" s="8" t="s">
        <v>11</v>
      </c>
      <c r="N48" s="8" t="s">
        <v>11</v>
      </c>
      <c r="O48" s="10" t="s">
        <v>11</v>
      </c>
    </row>
    <row r="49" spans="1:15">
      <c r="A49" s="11">
        <v>45748</v>
      </c>
      <c r="B49" s="12" t="s">
        <v>12</v>
      </c>
      <c r="C49" s="12"/>
      <c r="D49" s="13">
        <f>L38</f>
        <v>0</v>
      </c>
      <c r="E49" s="13">
        <f>M38</f>
        <v>0</v>
      </c>
      <c r="F49" s="13">
        <f>N38</f>
        <v>0</v>
      </c>
      <c r="G49" s="13">
        <f>O38</f>
        <v>2738.8999999999996</v>
      </c>
      <c r="H49" s="14"/>
      <c r="I49" s="15"/>
      <c r="J49" s="12"/>
      <c r="K49" s="12"/>
      <c r="L49" s="13"/>
      <c r="M49" s="13"/>
      <c r="N49" s="16"/>
      <c r="O49" s="17"/>
    </row>
    <row r="50" spans="1:15">
      <c r="A50" s="18"/>
      <c r="B50" s="12"/>
      <c r="C50" s="12"/>
      <c r="D50" s="13"/>
      <c r="E50" s="13"/>
      <c r="F50" s="13"/>
      <c r="G50" s="13"/>
      <c r="H50" s="14"/>
      <c r="I50" s="19"/>
      <c r="J50" s="12"/>
      <c r="K50" s="12"/>
      <c r="L50" s="13"/>
      <c r="M50" s="13"/>
      <c r="N50" s="16"/>
      <c r="O50" s="17"/>
    </row>
    <row r="51" spans="1:15">
      <c r="A51" s="20"/>
      <c r="B51" s="12"/>
      <c r="C51" s="12"/>
      <c r="D51" s="13"/>
      <c r="E51" s="13"/>
      <c r="F51" s="13"/>
      <c r="G51" s="13"/>
      <c r="H51" s="14"/>
      <c r="I51" s="12"/>
      <c r="J51" s="12"/>
      <c r="K51" s="12"/>
      <c r="L51" s="13"/>
      <c r="M51" s="13"/>
      <c r="N51" s="16"/>
      <c r="O51" s="17"/>
    </row>
    <row r="52" spans="1:15">
      <c r="A52" s="20"/>
      <c r="B52" s="12"/>
      <c r="C52" s="12"/>
      <c r="D52" s="21">
        <f>SUM(D49:D51)</f>
        <v>0</v>
      </c>
      <c r="E52" s="21">
        <f>SUM(E49:E51)</f>
        <v>0</v>
      </c>
      <c r="F52" s="21">
        <f>SUM(F49:F51)</f>
        <v>0</v>
      </c>
      <c r="G52" s="21">
        <f>SUM(G49:G51)</f>
        <v>2738.8999999999996</v>
      </c>
      <c r="H52" s="14"/>
      <c r="I52" s="12"/>
      <c r="J52" s="12"/>
      <c r="K52" s="12"/>
      <c r="L52" s="21">
        <f>SUM(L49:L51)</f>
        <v>0</v>
      </c>
      <c r="M52" s="21">
        <f>SUM(M49:M51)</f>
        <v>0</v>
      </c>
      <c r="N52" s="21">
        <f>SUM(N49:N51)</f>
        <v>0</v>
      </c>
      <c r="O52" s="22">
        <f>SUM(O49:O51)</f>
        <v>0</v>
      </c>
    </row>
    <row r="53" spans="1:15" ht="15" thickBot="1">
      <c r="A53" s="23"/>
      <c r="B53" s="24"/>
      <c r="C53" s="24"/>
      <c r="D53" s="25"/>
      <c r="E53" s="25"/>
      <c r="F53" s="25"/>
      <c r="G53" s="25">
        <f>G52-G49</f>
        <v>0</v>
      </c>
      <c r="H53" s="24"/>
      <c r="I53" s="24" t="s">
        <v>13</v>
      </c>
      <c r="J53" s="24"/>
      <c r="K53" s="24"/>
      <c r="L53" s="26">
        <f>D52-L52</f>
        <v>0</v>
      </c>
      <c r="M53" s="26">
        <f>E52-M52</f>
        <v>0</v>
      </c>
      <c r="N53" s="26">
        <f>F52-N52</f>
        <v>0</v>
      </c>
      <c r="O53" s="27">
        <f>G52-O52</f>
        <v>2738.8999999999996</v>
      </c>
    </row>
    <row r="54" spans="1:15">
      <c r="M54" s="28"/>
    </row>
    <row r="55" spans="1:15">
      <c r="M55" s="28"/>
    </row>
    <row r="56" spans="1:15">
      <c r="M56" s="28"/>
    </row>
    <row r="57" spans="1:15">
      <c r="M57" s="28"/>
    </row>
    <row r="59" spans="1:15">
      <c r="A59" t="s">
        <v>17</v>
      </c>
    </row>
    <row r="60" spans="1:15">
      <c r="A60" s="156" t="s">
        <v>2</v>
      </c>
      <c r="B60" s="157"/>
      <c r="C60" s="157"/>
      <c r="D60" s="157"/>
      <c r="E60" s="157"/>
      <c r="F60" s="157"/>
      <c r="G60" s="157"/>
      <c r="H60" s="5"/>
      <c r="I60" s="158" t="s">
        <v>3</v>
      </c>
      <c r="J60" s="157"/>
      <c r="K60" s="157"/>
      <c r="L60" s="157"/>
      <c r="M60" s="157"/>
      <c r="N60" s="157"/>
      <c r="O60" s="159"/>
    </row>
    <row r="61" spans="1:15">
      <c r="A61" s="6" t="s">
        <v>4</v>
      </c>
      <c r="B61" s="7" t="s">
        <v>5</v>
      </c>
      <c r="C61" s="7" t="s">
        <v>6</v>
      </c>
      <c r="D61" s="8" t="s">
        <v>7</v>
      </c>
      <c r="E61" s="8" t="s">
        <v>8</v>
      </c>
      <c r="F61" s="8" t="s">
        <v>9</v>
      </c>
      <c r="G61" s="8" t="s">
        <v>10</v>
      </c>
      <c r="H61" s="9"/>
      <c r="I61" s="7" t="s">
        <v>4</v>
      </c>
      <c r="J61" s="7" t="s">
        <v>5</v>
      </c>
      <c r="K61" s="7" t="s">
        <v>6</v>
      </c>
      <c r="L61" s="8" t="s">
        <v>7</v>
      </c>
      <c r="M61" s="8" t="s">
        <v>8</v>
      </c>
      <c r="N61" s="8" t="s">
        <v>9</v>
      </c>
      <c r="O61" s="10" t="s">
        <v>10</v>
      </c>
    </row>
    <row r="62" spans="1:15">
      <c r="A62" s="6"/>
      <c r="B62" s="7"/>
      <c r="C62" s="7"/>
      <c r="D62" s="8" t="s">
        <v>11</v>
      </c>
      <c r="E62" s="8" t="s">
        <v>11</v>
      </c>
      <c r="F62" s="8" t="s">
        <v>11</v>
      </c>
      <c r="G62" s="8" t="s">
        <v>11</v>
      </c>
      <c r="H62" s="9"/>
      <c r="I62" s="7"/>
      <c r="J62" s="7"/>
      <c r="K62" s="7"/>
      <c r="L62" s="8" t="s">
        <v>11</v>
      </c>
      <c r="M62" s="8" t="s">
        <v>11</v>
      </c>
      <c r="N62" s="8" t="s">
        <v>11</v>
      </c>
      <c r="O62" s="10" t="s">
        <v>11</v>
      </c>
    </row>
    <row r="63" spans="1:15">
      <c r="A63" s="35">
        <v>45778</v>
      </c>
      <c r="B63" s="12" t="s">
        <v>12</v>
      </c>
      <c r="C63" s="12"/>
      <c r="D63" s="13">
        <f>L53</f>
        <v>0</v>
      </c>
      <c r="E63" s="13">
        <f t="shared" ref="E63:G63" si="2">M53</f>
        <v>0</v>
      </c>
      <c r="F63" s="13">
        <f t="shared" si="2"/>
        <v>0</v>
      </c>
      <c r="G63" s="13">
        <f t="shared" si="2"/>
        <v>2738.8999999999996</v>
      </c>
      <c r="H63" s="14"/>
      <c r="I63" s="15"/>
      <c r="J63" s="12"/>
      <c r="K63" s="12"/>
      <c r="L63" s="13"/>
      <c r="M63" s="13"/>
      <c r="N63" s="16"/>
      <c r="O63" s="17"/>
    </row>
    <row r="64" spans="1:15">
      <c r="A64" s="18">
        <v>45807</v>
      </c>
      <c r="B64" s="12" t="s">
        <v>26</v>
      </c>
      <c r="C64" s="12"/>
      <c r="D64" s="13"/>
      <c r="E64" s="13"/>
      <c r="F64" s="13"/>
      <c r="G64" s="13">
        <v>784</v>
      </c>
      <c r="H64" s="14"/>
      <c r="I64" s="19"/>
      <c r="J64" s="12"/>
      <c r="K64" s="12"/>
      <c r="L64" s="13"/>
      <c r="M64" s="13"/>
      <c r="N64" s="16"/>
      <c r="O64" s="17"/>
    </row>
    <row r="65" spans="1:15">
      <c r="A65" s="18"/>
      <c r="B65" s="12"/>
      <c r="C65" s="12"/>
      <c r="D65" s="13"/>
      <c r="E65" s="13"/>
      <c r="F65" s="13"/>
      <c r="G65" s="13"/>
      <c r="H65" s="14"/>
      <c r="I65" s="19"/>
      <c r="J65" s="12"/>
      <c r="K65" s="12"/>
      <c r="L65" s="13"/>
      <c r="M65" s="13"/>
      <c r="N65" s="16"/>
      <c r="O65" s="17"/>
    </row>
    <row r="66" spans="1:15">
      <c r="A66" s="18"/>
      <c r="B66" s="12"/>
      <c r="C66" s="12"/>
      <c r="D66" s="13"/>
      <c r="E66" s="13"/>
      <c r="F66" s="13"/>
      <c r="G66" s="13"/>
      <c r="H66" s="14"/>
      <c r="I66" s="19"/>
      <c r="J66" s="12"/>
      <c r="K66" s="12"/>
      <c r="L66" s="13"/>
      <c r="M66" s="13"/>
      <c r="N66" s="16"/>
      <c r="O66" s="17"/>
    </row>
    <row r="67" spans="1:15">
      <c r="A67" s="18"/>
      <c r="B67" s="12"/>
      <c r="C67" s="12"/>
      <c r="D67" s="13"/>
      <c r="E67" s="13"/>
      <c r="F67" s="13"/>
      <c r="G67" s="13"/>
      <c r="H67" s="14"/>
      <c r="I67" s="19"/>
      <c r="J67" s="12"/>
      <c r="K67" s="12"/>
      <c r="L67" s="13"/>
      <c r="M67" s="13"/>
      <c r="N67" s="16"/>
      <c r="O67" s="17"/>
    </row>
    <row r="68" spans="1:15">
      <c r="A68" s="20"/>
      <c r="B68" s="12"/>
      <c r="C68" s="12"/>
      <c r="D68" s="13"/>
      <c r="E68" s="13"/>
      <c r="F68" s="13"/>
      <c r="G68" s="13"/>
      <c r="H68" s="14"/>
      <c r="I68" s="12"/>
      <c r="J68" s="12"/>
      <c r="K68" s="12"/>
      <c r="L68" s="13"/>
      <c r="M68" s="13"/>
      <c r="N68" s="16"/>
      <c r="O68" s="17"/>
    </row>
    <row r="69" spans="1:15">
      <c r="A69" s="20"/>
      <c r="B69" s="12"/>
      <c r="C69" s="12"/>
      <c r="D69" s="21">
        <f>SUM(D63:D68)</f>
        <v>0</v>
      </c>
      <c r="E69" s="21">
        <f>SUM(E63:E68)</f>
        <v>0</v>
      </c>
      <c r="F69" s="21">
        <f>SUM(F63:F68)</f>
        <v>0</v>
      </c>
      <c r="G69" s="21">
        <f>SUM(G63:G68)</f>
        <v>3522.8999999999996</v>
      </c>
      <c r="H69" s="14"/>
      <c r="I69" s="12"/>
      <c r="J69" s="12"/>
      <c r="K69" s="12"/>
      <c r="L69" s="21">
        <f>SUM(L63:L68)</f>
        <v>0</v>
      </c>
      <c r="M69" s="21">
        <f>SUM(M63:M68)</f>
        <v>0</v>
      </c>
      <c r="N69" s="21">
        <f>SUM(N63:N68)</f>
        <v>0</v>
      </c>
      <c r="O69" s="22">
        <f>SUM(O63:O68)</f>
        <v>0</v>
      </c>
    </row>
    <row r="70" spans="1:15" ht="15" thickBot="1">
      <c r="A70" s="23"/>
      <c r="B70" s="24"/>
      <c r="C70" s="24"/>
      <c r="D70" s="25"/>
      <c r="E70" s="25"/>
      <c r="F70" s="25"/>
      <c r="G70" s="25">
        <f>G69-G63</f>
        <v>784</v>
      </c>
      <c r="H70" s="24"/>
      <c r="I70" s="24" t="s">
        <v>13</v>
      </c>
      <c r="J70" s="24"/>
      <c r="K70" s="24"/>
      <c r="L70" s="26">
        <f>D69-L69</f>
        <v>0</v>
      </c>
      <c r="M70" s="26">
        <f>E69-M69</f>
        <v>0</v>
      </c>
      <c r="N70" s="26">
        <f>F69-N69</f>
        <v>0</v>
      </c>
      <c r="O70" s="27">
        <f>G69-O69</f>
        <v>3522.8999999999996</v>
      </c>
    </row>
    <row r="71" spans="1:15">
      <c r="M71" s="34"/>
      <c r="N71" s="34"/>
      <c r="O71" s="28"/>
    </row>
    <row r="72" spans="1:15">
      <c r="M72" s="28"/>
      <c r="N72" s="28"/>
      <c r="O72" s="28"/>
    </row>
    <row r="74" spans="1:15">
      <c r="A74" t="s">
        <v>18</v>
      </c>
    </row>
    <row r="75" spans="1:15">
      <c r="A75" s="156" t="s">
        <v>2</v>
      </c>
      <c r="B75" s="157"/>
      <c r="C75" s="157"/>
      <c r="D75" s="157"/>
      <c r="E75" s="157"/>
      <c r="F75" s="157"/>
      <c r="G75" s="157"/>
      <c r="H75" s="5"/>
      <c r="I75" s="158" t="s">
        <v>3</v>
      </c>
      <c r="J75" s="157"/>
      <c r="K75" s="157"/>
      <c r="L75" s="157"/>
      <c r="M75" s="157"/>
      <c r="N75" s="157"/>
      <c r="O75" s="159"/>
    </row>
    <row r="76" spans="1:15">
      <c r="A76" s="6" t="s">
        <v>4</v>
      </c>
      <c r="B76" s="7" t="s">
        <v>5</v>
      </c>
      <c r="C76" s="7" t="s">
        <v>6</v>
      </c>
      <c r="D76" s="8" t="s">
        <v>7</v>
      </c>
      <c r="E76" s="8" t="s">
        <v>8</v>
      </c>
      <c r="F76" s="8" t="s">
        <v>9</v>
      </c>
      <c r="G76" s="8" t="s">
        <v>10</v>
      </c>
      <c r="H76" s="9"/>
      <c r="I76" s="7" t="s">
        <v>4</v>
      </c>
      <c r="J76" s="7" t="s">
        <v>5</v>
      </c>
      <c r="K76" s="7" t="s">
        <v>6</v>
      </c>
      <c r="L76" s="8" t="s">
        <v>7</v>
      </c>
      <c r="M76" s="8" t="s">
        <v>8</v>
      </c>
      <c r="N76" s="8" t="s">
        <v>9</v>
      </c>
      <c r="O76" s="10" t="s">
        <v>10</v>
      </c>
    </row>
    <row r="77" spans="1:15">
      <c r="A77" s="6"/>
      <c r="B77" s="7"/>
      <c r="C77" s="7"/>
      <c r="D77" s="8" t="s">
        <v>11</v>
      </c>
      <c r="E77" s="8" t="s">
        <v>11</v>
      </c>
      <c r="F77" s="8" t="s">
        <v>11</v>
      </c>
      <c r="G77" s="8" t="s">
        <v>11</v>
      </c>
      <c r="H77" s="9"/>
      <c r="I77" s="7"/>
      <c r="J77" s="7"/>
      <c r="K77" s="7"/>
      <c r="L77" s="8" t="s">
        <v>11</v>
      </c>
      <c r="M77" s="8" t="s">
        <v>11</v>
      </c>
      <c r="N77" s="8" t="s">
        <v>11</v>
      </c>
      <c r="O77" s="10" t="s">
        <v>11</v>
      </c>
    </row>
    <row r="78" spans="1:15">
      <c r="A78" s="11">
        <v>45809</v>
      </c>
      <c r="B78" s="12" t="s">
        <v>12</v>
      </c>
      <c r="C78" s="12"/>
      <c r="D78" s="13">
        <f>L70</f>
        <v>0</v>
      </c>
      <c r="E78" s="13">
        <f>M70</f>
        <v>0</v>
      </c>
      <c r="F78" s="13">
        <f>N70</f>
        <v>0</v>
      </c>
      <c r="G78" s="13">
        <f>O70</f>
        <v>3522.8999999999996</v>
      </c>
      <c r="H78" s="14"/>
      <c r="I78" s="15"/>
      <c r="J78" s="12"/>
      <c r="K78" s="12"/>
      <c r="L78" s="13"/>
      <c r="M78" s="13"/>
      <c r="N78" s="16"/>
      <c r="O78" s="17"/>
    </row>
    <row r="79" spans="1:15">
      <c r="A79" s="18"/>
      <c r="B79" s="12"/>
      <c r="C79" s="12"/>
      <c r="D79" s="13"/>
      <c r="E79" s="13"/>
      <c r="F79" s="13"/>
      <c r="G79" s="13"/>
      <c r="H79" s="14"/>
      <c r="I79" s="19"/>
      <c r="J79" s="12"/>
      <c r="K79" s="12"/>
      <c r="L79" s="13"/>
      <c r="M79" s="13"/>
      <c r="N79" s="16"/>
      <c r="O79" s="17"/>
    </row>
    <row r="80" spans="1:15">
      <c r="A80" s="18"/>
      <c r="B80" s="12"/>
      <c r="C80" s="12"/>
      <c r="D80" s="13"/>
      <c r="E80" s="13"/>
      <c r="F80" s="13"/>
      <c r="G80" s="13"/>
      <c r="H80" s="14"/>
      <c r="I80" s="19"/>
      <c r="J80" s="12"/>
      <c r="K80" s="12"/>
      <c r="L80" s="13"/>
      <c r="M80" s="13"/>
      <c r="N80" s="16"/>
      <c r="O80" s="17"/>
    </row>
    <row r="81" spans="1:15">
      <c r="A81" s="18"/>
      <c r="B81" s="12"/>
      <c r="C81" s="12"/>
      <c r="D81" s="13"/>
      <c r="E81" s="13"/>
      <c r="F81" s="13"/>
      <c r="G81" s="13"/>
      <c r="H81" s="14"/>
      <c r="I81" s="19"/>
      <c r="J81" s="12"/>
      <c r="K81" s="12"/>
      <c r="L81" s="13"/>
      <c r="M81" s="13"/>
      <c r="N81" s="16"/>
      <c r="O81" s="17"/>
    </row>
    <row r="82" spans="1:15">
      <c r="A82" s="18"/>
      <c r="B82" s="12"/>
      <c r="C82" s="12"/>
      <c r="D82" s="13"/>
      <c r="E82" s="13"/>
      <c r="F82" s="13"/>
      <c r="G82" s="13"/>
      <c r="H82" s="14"/>
      <c r="I82" s="19"/>
      <c r="J82" s="12"/>
      <c r="K82" s="12"/>
      <c r="L82" s="13"/>
      <c r="M82" s="13"/>
      <c r="N82" s="16"/>
      <c r="O82" s="17"/>
    </row>
    <row r="83" spans="1:15">
      <c r="A83" s="18"/>
      <c r="B83" s="12"/>
      <c r="C83" s="12"/>
      <c r="D83" s="13"/>
      <c r="E83" s="13"/>
      <c r="F83" s="13"/>
      <c r="G83" s="13"/>
      <c r="H83" s="14"/>
      <c r="I83" s="19"/>
      <c r="J83" s="12"/>
      <c r="K83" s="12"/>
      <c r="L83" s="13"/>
      <c r="M83" s="13"/>
      <c r="N83" s="16"/>
      <c r="O83" s="17"/>
    </row>
    <row r="84" spans="1:15">
      <c r="A84" s="20"/>
      <c r="B84" s="12"/>
      <c r="C84" s="12"/>
      <c r="D84" s="13"/>
      <c r="E84" s="13"/>
      <c r="F84" s="13"/>
      <c r="G84" s="13"/>
      <c r="H84" s="14"/>
      <c r="I84" s="12"/>
      <c r="J84" s="12"/>
      <c r="K84" s="12"/>
      <c r="L84" s="13"/>
      <c r="M84" s="13"/>
      <c r="N84" s="16"/>
      <c r="O84" s="17"/>
    </row>
    <row r="85" spans="1:15">
      <c r="A85" s="20"/>
      <c r="B85" s="12"/>
      <c r="C85" s="12"/>
      <c r="D85" s="13"/>
      <c r="E85" s="13"/>
      <c r="F85" s="13"/>
      <c r="G85" s="13"/>
      <c r="H85" s="14"/>
      <c r="I85" s="12"/>
      <c r="J85" s="12"/>
      <c r="K85" s="12"/>
      <c r="L85" s="13"/>
      <c r="M85" s="13"/>
      <c r="N85" s="16"/>
      <c r="O85" s="17"/>
    </row>
    <row r="86" spans="1:15">
      <c r="A86" s="20"/>
      <c r="B86" s="12"/>
      <c r="C86" s="12"/>
      <c r="D86" s="21">
        <f>SUM(D78:D85)</f>
        <v>0</v>
      </c>
      <c r="E86" s="21">
        <f>SUM(E78:E85)</f>
        <v>0</v>
      </c>
      <c r="F86" s="21">
        <f>SUM(F78:F85)</f>
        <v>0</v>
      </c>
      <c r="G86" s="21">
        <f>SUM(G78:G85)</f>
        <v>3522.8999999999996</v>
      </c>
      <c r="H86" s="14"/>
      <c r="I86" s="12"/>
      <c r="J86" s="12"/>
      <c r="K86" s="12"/>
      <c r="L86" s="21">
        <f>SUM(L78:L85)</f>
        <v>0</v>
      </c>
      <c r="M86" s="21">
        <f>SUM(M78:M85)</f>
        <v>0</v>
      </c>
      <c r="N86" s="21">
        <f>SUM(N78:N85)</f>
        <v>0</v>
      </c>
      <c r="O86" s="22">
        <f>SUM(O78:O85)</f>
        <v>0</v>
      </c>
    </row>
    <row r="87" spans="1:15" ht="15" thickBot="1">
      <c r="A87" s="23"/>
      <c r="B87" s="24"/>
      <c r="C87" s="24"/>
      <c r="D87" s="25"/>
      <c r="E87" s="25"/>
      <c r="F87" s="25"/>
      <c r="G87" s="25">
        <f>G86-G78</f>
        <v>0</v>
      </c>
      <c r="H87" s="24"/>
      <c r="I87" s="24" t="s">
        <v>13</v>
      </c>
      <c r="J87" s="24"/>
      <c r="K87" s="24"/>
      <c r="L87" s="26">
        <f>D86-L86</f>
        <v>0</v>
      </c>
      <c r="M87" s="26">
        <f>E86-M86</f>
        <v>0</v>
      </c>
      <c r="N87" s="26">
        <f>F86-N86</f>
        <v>0</v>
      </c>
      <c r="O87" s="27">
        <f>G86-O86</f>
        <v>3522.8999999999996</v>
      </c>
    </row>
    <row r="88" spans="1:15">
      <c r="M88" s="34"/>
      <c r="N88" s="34"/>
      <c r="O88" s="28"/>
    </row>
    <row r="89" spans="1:15">
      <c r="M89" s="28"/>
      <c r="N89" s="28"/>
      <c r="O89" s="28"/>
    </row>
    <row r="90" spans="1:15">
      <c r="M90" s="28"/>
      <c r="O90" s="28"/>
    </row>
    <row r="92" spans="1:15">
      <c r="A92" t="s">
        <v>19</v>
      </c>
    </row>
    <row r="93" spans="1:15">
      <c r="A93" s="156" t="s">
        <v>2</v>
      </c>
      <c r="B93" s="157"/>
      <c r="C93" s="157"/>
      <c r="D93" s="157"/>
      <c r="E93" s="157"/>
      <c r="F93" s="157"/>
      <c r="G93" s="157"/>
      <c r="H93" s="5"/>
      <c r="I93" s="158" t="s">
        <v>3</v>
      </c>
      <c r="J93" s="157"/>
      <c r="K93" s="157"/>
      <c r="L93" s="157"/>
      <c r="M93" s="157"/>
      <c r="N93" s="157"/>
      <c r="O93" s="159"/>
    </row>
    <row r="94" spans="1:15">
      <c r="A94" s="6" t="s">
        <v>4</v>
      </c>
      <c r="B94" s="7" t="s">
        <v>5</v>
      </c>
      <c r="C94" s="7" t="s">
        <v>6</v>
      </c>
      <c r="D94" s="8" t="s">
        <v>7</v>
      </c>
      <c r="E94" s="8" t="s">
        <v>8</v>
      </c>
      <c r="F94" s="8" t="s">
        <v>9</v>
      </c>
      <c r="G94" s="8" t="s">
        <v>10</v>
      </c>
      <c r="H94" s="9"/>
      <c r="I94" s="7" t="s">
        <v>4</v>
      </c>
      <c r="J94" s="7" t="s">
        <v>5</v>
      </c>
      <c r="K94" s="7" t="s">
        <v>6</v>
      </c>
      <c r="L94" s="8" t="s">
        <v>7</v>
      </c>
      <c r="M94" s="8" t="s">
        <v>8</v>
      </c>
      <c r="N94" s="8" t="s">
        <v>9</v>
      </c>
      <c r="O94" s="10" t="s">
        <v>10</v>
      </c>
    </row>
    <row r="95" spans="1:15">
      <c r="A95" s="6"/>
      <c r="B95" s="7"/>
      <c r="C95" s="7"/>
      <c r="D95" s="8" t="s">
        <v>11</v>
      </c>
      <c r="E95" s="8" t="s">
        <v>11</v>
      </c>
      <c r="F95" s="8" t="s">
        <v>11</v>
      </c>
      <c r="G95" s="8" t="s">
        <v>11</v>
      </c>
      <c r="H95" s="9"/>
      <c r="I95" s="7"/>
      <c r="J95" s="7"/>
      <c r="K95" s="7"/>
      <c r="L95" s="8" t="s">
        <v>11</v>
      </c>
      <c r="M95" s="8" t="s">
        <v>11</v>
      </c>
      <c r="N95" s="8" t="s">
        <v>11</v>
      </c>
      <c r="O95" s="10" t="s">
        <v>11</v>
      </c>
    </row>
    <row r="96" spans="1:15">
      <c r="A96" s="11">
        <v>45839</v>
      </c>
      <c r="B96" s="12" t="s">
        <v>12</v>
      </c>
      <c r="C96" s="12"/>
      <c r="D96" s="13">
        <f>L87</f>
        <v>0</v>
      </c>
      <c r="E96" s="13">
        <f>M87</f>
        <v>0</v>
      </c>
      <c r="F96" s="13">
        <f>N87</f>
        <v>0</v>
      </c>
      <c r="G96" s="13">
        <f>O87</f>
        <v>3522.8999999999996</v>
      </c>
      <c r="H96" s="14"/>
      <c r="I96" s="15">
        <v>45856</v>
      </c>
      <c r="J96" s="12" t="s">
        <v>20</v>
      </c>
      <c r="K96" s="12"/>
      <c r="L96" s="13"/>
      <c r="M96" s="13">
        <v>15000</v>
      </c>
      <c r="N96" s="16"/>
      <c r="O96" s="17"/>
    </row>
    <row r="97" spans="1:15">
      <c r="A97" s="18">
        <v>45849</v>
      </c>
      <c r="B97" s="12" t="s">
        <v>21</v>
      </c>
      <c r="C97" s="12"/>
      <c r="D97" s="13"/>
      <c r="E97" s="13">
        <v>18000</v>
      </c>
      <c r="F97" s="13"/>
      <c r="G97" s="13"/>
      <c r="H97" s="14"/>
      <c r="I97" s="19">
        <v>45858</v>
      </c>
      <c r="J97" s="12" t="s">
        <v>79</v>
      </c>
      <c r="K97" s="12"/>
      <c r="L97" s="13"/>
      <c r="M97" s="13"/>
      <c r="N97" s="16"/>
      <c r="O97" s="17">
        <v>3522</v>
      </c>
    </row>
    <row r="98" spans="1:15">
      <c r="A98" s="18">
        <v>45856</v>
      </c>
      <c r="B98" s="12" t="s">
        <v>22</v>
      </c>
      <c r="C98" s="12"/>
      <c r="D98" s="13"/>
      <c r="E98" s="13">
        <v>6000</v>
      </c>
      <c r="F98" s="13"/>
      <c r="G98" s="13"/>
      <c r="H98" s="14"/>
      <c r="I98" s="19"/>
      <c r="J98" s="12"/>
      <c r="K98" s="12"/>
      <c r="L98" s="13"/>
      <c r="M98" s="13"/>
      <c r="N98" s="16"/>
      <c r="O98" s="17"/>
    </row>
    <row r="99" spans="1:15">
      <c r="A99" s="18">
        <v>45858</v>
      </c>
      <c r="B99" s="12" t="s">
        <v>78</v>
      </c>
      <c r="C99" s="12"/>
      <c r="D99" s="13"/>
      <c r="E99" s="13">
        <v>3522</v>
      </c>
      <c r="F99" s="13"/>
      <c r="G99" s="13"/>
      <c r="H99" s="14"/>
      <c r="I99" s="19"/>
      <c r="J99" s="12"/>
      <c r="K99" s="12"/>
      <c r="L99" s="13"/>
      <c r="M99" s="13"/>
      <c r="N99" s="16"/>
      <c r="O99" s="17"/>
    </row>
    <row r="100" spans="1:15">
      <c r="A100" s="18"/>
      <c r="B100" s="12"/>
      <c r="C100" s="12"/>
      <c r="D100" s="13"/>
      <c r="E100" s="13"/>
      <c r="F100" s="13"/>
      <c r="G100" s="13"/>
      <c r="H100" s="14"/>
      <c r="I100" s="19"/>
      <c r="J100" s="12"/>
      <c r="K100" s="12"/>
      <c r="L100" s="13"/>
      <c r="M100" s="13"/>
      <c r="N100" s="16"/>
      <c r="O100" s="17"/>
    </row>
    <row r="101" spans="1:15">
      <c r="A101" s="18"/>
      <c r="B101" s="12"/>
      <c r="C101" s="12"/>
      <c r="D101" s="13"/>
      <c r="E101" s="13"/>
      <c r="F101" s="13"/>
      <c r="G101" s="13"/>
      <c r="H101" s="14"/>
      <c r="I101" s="19"/>
      <c r="J101" s="12"/>
      <c r="K101" s="12"/>
      <c r="L101" s="13"/>
      <c r="M101" s="13"/>
      <c r="N101" s="16"/>
      <c r="O101" s="17"/>
    </row>
    <row r="102" spans="1:15">
      <c r="A102" s="20"/>
      <c r="B102" s="12"/>
      <c r="C102" s="12"/>
      <c r="D102" s="13"/>
      <c r="E102" s="13"/>
      <c r="F102" s="13"/>
      <c r="G102" s="13"/>
      <c r="H102" s="14"/>
      <c r="I102" s="12"/>
      <c r="J102" s="12"/>
      <c r="K102" s="12"/>
      <c r="L102" s="13"/>
      <c r="M102" s="13"/>
      <c r="N102" s="16"/>
      <c r="O102" s="17"/>
    </row>
    <row r="103" spans="1:15">
      <c r="A103" s="20"/>
      <c r="B103" s="12"/>
      <c r="C103" s="12"/>
      <c r="D103" s="13"/>
      <c r="E103" s="13"/>
      <c r="F103" s="13"/>
      <c r="G103" s="13"/>
      <c r="H103" s="14"/>
      <c r="I103" s="12"/>
      <c r="J103" s="12"/>
      <c r="K103" s="12"/>
      <c r="L103" s="13"/>
      <c r="M103" s="13"/>
      <c r="N103" s="16"/>
      <c r="O103" s="17"/>
    </row>
    <row r="104" spans="1:15">
      <c r="A104" s="20"/>
      <c r="B104" s="12"/>
      <c r="C104" s="12"/>
      <c r="D104" s="13"/>
      <c r="E104" s="13"/>
      <c r="F104" s="13"/>
      <c r="G104" s="13"/>
      <c r="H104" s="14"/>
      <c r="I104" s="12"/>
      <c r="J104" s="12"/>
      <c r="K104" s="12"/>
      <c r="L104" s="13"/>
      <c r="M104" s="13"/>
      <c r="N104" s="16"/>
      <c r="O104" s="17"/>
    </row>
    <row r="105" spans="1:15">
      <c r="A105" s="20"/>
      <c r="B105" s="12"/>
      <c r="C105" s="12"/>
      <c r="D105" s="21">
        <f>SUM(D96:D104)</f>
        <v>0</v>
      </c>
      <c r="E105" s="21">
        <f>SUM(E96:E104)</f>
        <v>27522</v>
      </c>
      <c r="F105" s="21">
        <f>SUM(F96:F104)</f>
        <v>0</v>
      </c>
      <c r="G105" s="21">
        <f>SUM(G96:G104)</f>
        <v>3522.8999999999996</v>
      </c>
      <c r="H105" s="14"/>
      <c r="I105" s="12"/>
      <c r="J105" s="12"/>
      <c r="K105" s="12"/>
      <c r="L105" s="21">
        <f>SUM(L96:L104)</f>
        <v>0</v>
      </c>
      <c r="M105" s="21">
        <f t="shared" ref="M105:N105" si="3">SUM(M96:M104)</f>
        <v>15000</v>
      </c>
      <c r="N105" s="21">
        <f t="shared" si="3"/>
        <v>0</v>
      </c>
      <c r="O105" s="22">
        <f>SUM(O96:O104)</f>
        <v>3522</v>
      </c>
    </row>
    <row r="106" spans="1:15" ht="15" thickBot="1">
      <c r="A106" s="23"/>
      <c r="B106" s="24"/>
      <c r="C106" s="24"/>
      <c r="D106" s="25"/>
      <c r="E106" s="25"/>
      <c r="F106" s="25"/>
      <c r="G106" s="25">
        <f>G105-G96</f>
        <v>0</v>
      </c>
      <c r="H106" s="24"/>
      <c r="I106" s="24" t="s">
        <v>13</v>
      </c>
      <c r="J106" s="24"/>
      <c r="K106" s="24"/>
      <c r="L106" s="26">
        <f>D105-L105</f>
        <v>0</v>
      </c>
      <c r="M106" s="26">
        <f>E105-M105</f>
        <v>12522</v>
      </c>
      <c r="N106" s="26">
        <f>F105-N105</f>
        <v>0</v>
      </c>
      <c r="O106" s="27">
        <f>G105-O105</f>
        <v>0.8999999999996362</v>
      </c>
    </row>
    <row r="107" spans="1:15">
      <c r="M107" s="34"/>
      <c r="N107" s="34"/>
      <c r="O107" s="28"/>
    </row>
    <row r="108" spans="1:15">
      <c r="M108" s="28"/>
      <c r="N108" s="28"/>
      <c r="O108" s="28"/>
    </row>
    <row r="110" spans="1:15">
      <c r="A110" t="s">
        <v>76</v>
      </c>
    </row>
    <row r="111" spans="1:15">
      <c r="A111" s="156" t="s">
        <v>2</v>
      </c>
      <c r="B111" s="157"/>
      <c r="C111" s="157"/>
      <c r="D111" s="157"/>
      <c r="E111" s="157"/>
      <c r="F111" s="157"/>
      <c r="G111" s="157"/>
      <c r="H111" s="5"/>
      <c r="I111" s="158" t="s">
        <v>3</v>
      </c>
      <c r="J111" s="157"/>
      <c r="K111" s="157"/>
      <c r="L111" s="157"/>
      <c r="M111" s="157"/>
      <c r="N111" s="157"/>
      <c r="O111" s="159"/>
    </row>
    <row r="112" spans="1:15">
      <c r="A112" s="6" t="s">
        <v>4</v>
      </c>
      <c r="B112" s="7" t="s">
        <v>5</v>
      </c>
      <c r="C112" s="7" t="s">
        <v>6</v>
      </c>
      <c r="D112" s="8" t="s">
        <v>7</v>
      </c>
      <c r="E112" s="8" t="s">
        <v>8</v>
      </c>
      <c r="F112" s="8" t="s">
        <v>9</v>
      </c>
      <c r="G112" s="8" t="s">
        <v>10</v>
      </c>
      <c r="H112" s="9"/>
      <c r="I112" s="7" t="s">
        <v>4</v>
      </c>
      <c r="J112" s="7" t="s">
        <v>5</v>
      </c>
      <c r="K112" s="7" t="s">
        <v>6</v>
      </c>
      <c r="L112" s="8" t="s">
        <v>7</v>
      </c>
      <c r="M112" s="8" t="s">
        <v>8</v>
      </c>
      <c r="N112" s="8" t="s">
        <v>9</v>
      </c>
      <c r="O112" s="10" t="s">
        <v>10</v>
      </c>
    </row>
    <row r="113" spans="1:15">
      <c r="A113" s="6"/>
      <c r="B113" s="7"/>
      <c r="C113" s="7"/>
      <c r="D113" s="8" t="s">
        <v>11</v>
      </c>
      <c r="E113" s="8" t="s">
        <v>11</v>
      </c>
      <c r="F113" s="8" t="s">
        <v>11</v>
      </c>
      <c r="G113" s="8" t="s">
        <v>11</v>
      </c>
      <c r="H113" s="9"/>
      <c r="I113" s="7"/>
      <c r="J113" s="7"/>
      <c r="K113" s="7"/>
      <c r="L113" s="8" t="s">
        <v>11</v>
      </c>
      <c r="M113" s="8" t="s">
        <v>11</v>
      </c>
      <c r="N113" s="8" t="s">
        <v>11</v>
      </c>
      <c r="O113" s="10" t="s">
        <v>11</v>
      </c>
    </row>
    <row r="114" spans="1:15">
      <c r="A114" s="11">
        <v>45870</v>
      </c>
      <c r="B114" s="12" t="s">
        <v>12</v>
      </c>
      <c r="C114" s="12"/>
      <c r="D114" s="13">
        <f>L106</f>
        <v>0</v>
      </c>
      <c r="E114" s="13">
        <f>M106</f>
        <v>12522</v>
      </c>
      <c r="F114" s="13">
        <f>N106</f>
        <v>0</v>
      </c>
      <c r="G114" s="13">
        <f>O106</f>
        <v>0.8999999999996362</v>
      </c>
      <c r="H114" s="14"/>
      <c r="I114" s="15" t="s">
        <v>77</v>
      </c>
      <c r="J114" s="12" t="s">
        <v>20</v>
      </c>
      <c r="K114" s="12"/>
      <c r="L114" s="13"/>
      <c r="M114" s="13">
        <v>15000</v>
      </c>
      <c r="N114" s="16"/>
      <c r="O114" s="17"/>
    </row>
    <row r="115" spans="1:15">
      <c r="A115" s="18" t="s">
        <v>77</v>
      </c>
      <c r="B115" s="12" t="s">
        <v>22</v>
      </c>
      <c r="C115" s="12"/>
      <c r="D115" s="13"/>
      <c r="E115" s="13">
        <v>6000</v>
      </c>
      <c r="F115" s="13"/>
      <c r="G115" s="13"/>
      <c r="H115" s="14"/>
      <c r="I115" s="19"/>
      <c r="J115" s="12" t="s">
        <v>89</v>
      </c>
      <c r="K115" s="12"/>
      <c r="L115" s="13"/>
      <c r="M115" s="13"/>
      <c r="N115" s="16"/>
      <c r="O115" s="17">
        <v>600</v>
      </c>
    </row>
    <row r="116" spans="1:15">
      <c r="A116" s="18"/>
      <c r="B116" s="12" t="s">
        <v>81</v>
      </c>
      <c r="C116" s="12" t="s">
        <v>82</v>
      </c>
      <c r="D116" s="13"/>
      <c r="E116" s="13"/>
      <c r="F116" s="13"/>
      <c r="G116" s="13">
        <f>4000+1120</f>
        <v>5120</v>
      </c>
      <c r="H116" s="14"/>
      <c r="I116" s="19"/>
      <c r="J116" s="12" t="s">
        <v>90</v>
      </c>
      <c r="K116" s="12"/>
      <c r="L116" s="13"/>
      <c r="M116" s="13"/>
      <c r="N116" s="16"/>
      <c r="O116" s="17">
        <v>2500</v>
      </c>
    </row>
    <row r="117" spans="1:15">
      <c r="A117" s="18"/>
      <c r="B117" s="12"/>
      <c r="C117" s="12" t="s">
        <v>83</v>
      </c>
      <c r="D117" s="13"/>
      <c r="E117" s="13"/>
      <c r="F117" s="13"/>
      <c r="G117" s="13">
        <v>2500</v>
      </c>
      <c r="H117" s="14"/>
      <c r="I117" s="19"/>
      <c r="J117" s="12" t="s">
        <v>91</v>
      </c>
      <c r="K117" s="12"/>
      <c r="L117" s="13"/>
      <c r="M117" s="13"/>
      <c r="N117" s="16"/>
      <c r="O117" s="17">
        <v>600</v>
      </c>
    </row>
    <row r="118" spans="1:15">
      <c r="A118" s="18"/>
      <c r="B118" s="12"/>
      <c r="C118" s="12" t="s">
        <v>84</v>
      </c>
      <c r="D118" s="13"/>
      <c r="E118" s="13"/>
      <c r="F118" s="13"/>
      <c r="G118" s="13">
        <v>1000</v>
      </c>
      <c r="H118" s="14"/>
      <c r="I118" s="19"/>
      <c r="J118" s="12" t="s">
        <v>92</v>
      </c>
      <c r="K118" s="12"/>
      <c r="L118" s="13"/>
      <c r="M118" s="13"/>
      <c r="N118" s="16"/>
      <c r="O118" s="17">
        <v>620</v>
      </c>
    </row>
    <row r="119" spans="1:15">
      <c r="A119" s="18"/>
      <c r="B119" s="12"/>
      <c r="C119" s="12" t="s">
        <v>85</v>
      </c>
      <c r="D119" s="13"/>
      <c r="E119" s="13"/>
      <c r="F119" s="13"/>
      <c r="G119" s="13">
        <v>1000</v>
      </c>
      <c r="H119" s="14"/>
      <c r="I119" s="19"/>
      <c r="J119" s="12" t="s">
        <v>93</v>
      </c>
      <c r="K119" s="12"/>
      <c r="L119" s="13"/>
      <c r="M119" s="13"/>
      <c r="N119" s="16"/>
      <c r="O119" s="17">
        <v>300</v>
      </c>
    </row>
    <row r="120" spans="1:15">
      <c r="A120" s="20"/>
      <c r="B120" s="12"/>
      <c r="C120" s="12" t="s">
        <v>86</v>
      </c>
      <c r="D120" s="13"/>
      <c r="E120" s="13"/>
      <c r="F120" s="13"/>
      <c r="G120" s="13">
        <v>500</v>
      </c>
      <c r="H120" s="14"/>
      <c r="I120" s="12"/>
      <c r="J120" s="12" t="s">
        <v>94</v>
      </c>
      <c r="K120" s="12"/>
      <c r="L120" s="13"/>
      <c r="M120" s="13"/>
      <c r="N120" s="16"/>
      <c r="O120" s="17">
        <v>6500</v>
      </c>
    </row>
    <row r="121" spans="1:15">
      <c r="A121" s="20"/>
      <c r="B121" s="12"/>
      <c r="C121" s="12" t="s">
        <v>87</v>
      </c>
      <c r="D121" s="13"/>
      <c r="E121" s="13"/>
      <c r="F121" s="13"/>
      <c r="G121" s="13">
        <v>700</v>
      </c>
      <c r="H121" s="14"/>
      <c r="I121" s="12"/>
      <c r="J121" s="12"/>
      <c r="K121" s="12"/>
      <c r="L121" s="13"/>
      <c r="M121" s="13"/>
      <c r="N121" s="16"/>
      <c r="O121" s="17"/>
    </row>
    <row r="122" spans="1:15">
      <c r="A122" s="20"/>
      <c r="B122" s="12"/>
      <c r="C122" s="12" t="s">
        <v>88</v>
      </c>
      <c r="D122" s="13"/>
      <c r="E122" s="13"/>
      <c r="F122" s="13"/>
      <c r="G122" s="13">
        <v>300</v>
      </c>
      <c r="H122" s="14"/>
      <c r="I122" s="12"/>
      <c r="J122" s="12"/>
      <c r="K122" s="12"/>
      <c r="L122" s="13"/>
      <c r="M122" s="13"/>
      <c r="N122" s="16"/>
      <c r="O122" s="17"/>
    </row>
    <row r="123" spans="1:15">
      <c r="A123" s="20"/>
      <c r="B123" s="12"/>
      <c r="C123" s="12"/>
      <c r="D123" s="13"/>
      <c r="E123" s="13"/>
      <c r="F123" s="13"/>
      <c r="G123" s="13"/>
      <c r="H123" s="14"/>
      <c r="I123" s="12"/>
      <c r="J123" s="12"/>
      <c r="K123" s="12"/>
      <c r="L123" s="13"/>
      <c r="M123" s="13"/>
      <c r="N123" s="16"/>
      <c r="O123" s="17"/>
    </row>
    <row r="124" spans="1:15">
      <c r="A124" s="20"/>
      <c r="B124" s="12"/>
      <c r="C124" s="12"/>
      <c r="D124" s="13"/>
      <c r="E124" s="13"/>
      <c r="F124" s="13"/>
      <c r="G124" s="13"/>
      <c r="H124" s="14"/>
      <c r="I124" s="12"/>
      <c r="J124" s="12"/>
      <c r="K124" s="12"/>
      <c r="L124" s="13"/>
      <c r="M124" s="13"/>
      <c r="N124" s="16"/>
      <c r="O124" s="17"/>
    </row>
    <row r="125" spans="1:15">
      <c r="A125" s="20"/>
      <c r="B125" s="12"/>
      <c r="C125" s="12"/>
      <c r="D125" s="13"/>
      <c r="E125" s="13"/>
      <c r="F125" s="13"/>
      <c r="G125" s="13"/>
      <c r="H125" s="14"/>
      <c r="I125" s="12"/>
      <c r="J125" s="12"/>
      <c r="K125" s="12"/>
      <c r="L125" s="13"/>
      <c r="M125" s="13"/>
      <c r="N125" s="16"/>
      <c r="O125" s="17"/>
    </row>
    <row r="126" spans="1:15">
      <c r="A126" s="20"/>
      <c r="B126" s="12"/>
      <c r="C126" s="12"/>
      <c r="D126" s="21">
        <f>SUM(D114:D125)</f>
        <v>0</v>
      </c>
      <c r="E126" s="21">
        <f>SUM(E114:E125)</f>
        <v>18522</v>
      </c>
      <c r="F126" s="21">
        <f>SUM(F114:F125)</f>
        <v>0</v>
      </c>
      <c r="G126" s="21">
        <f>SUM(G114:G125)</f>
        <v>11120.9</v>
      </c>
      <c r="H126" s="14"/>
      <c r="I126" s="12"/>
      <c r="J126" s="12"/>
      <c r="K126" s="12"/>
      <c r="L126" s="21">
        <f>SUM(L114:L125)</f>
        <v>0</v>
      </c>
      <c r="M126" s="21">
        <f t="shared" ref="M126:N126" si="4">SUM(M114:M125)</f>
        <v>15000</v>
      </c>
      <c r="N126" s="21">
        <f t="shared" si="4"/>
        <v>0</v>
      </c>
      <c r="O126" s="22">
        <f>SUM(O114:O125)</f>
        <v>11120</v>
      </c>
    </row>
    <row r="127" spans="1:15" ht="15" thickBot="1">
      <c r="A127" s="23"/>
      <c r="B127" s="24"/>
      <c r="C127" s="24"/>
      <c r="D127" s="25"/>
      <c r="E127" s="25"/>
      <c r="F127" s="25"/>
      <c r="G127" s="25">
        <f>G126-G114</f>
        <v>11120</v>
      </c>
      <c r="H127" s="24"/>
      <c r="I127" s="24" t="s">
        <v>13</v>
      </c>
      <c r="J127" s="24"/>
      <c r="K127" s="24"/>
      <c r="L127" s="26">
        <f>D126-L126</f>
        <v>0</v>
      </c>
      <c r="M127" s="26">
        <f>E126-M126</f>
        <v>3522</v>
      </c>
      <c r="N127" s="26">
        <f>F126-N126</f>
        <v>0</v>
      </c>
      <c r="O127" s="27">
        <f>G126-O126</f>
        <v>0.8999999999996362</v>
      </c>
    </row>
    <row r="131" spans="1:15">
      <c r="A131" t="s">
        <v>80</v>
      </c>
    </row>
    <row r="132" spans="1:15">
      <c r="A132" s="156" t="s">
        <v>2</v>
      </c>
      <c r="B132" s="157"/>
      <c r="C132" s="157"/>
      <c r="D132" s="157"/>
      <c r="E132" s="157"/>
      <c r="F132" s="157"/>
      <c r="G132" s="157"/>
      <c r="H132" s="5"/>
      <c r="I132" s="158" t="s">
        <v>3</v>
      </c>
      <c r="J132" s="157"/>
      <c r="K132" s="157"/>
      <c r="L132" s="157"/>
      <c r="M132" s="157"/>
      <c r="N132" s="157"/>
      <c r="O132" s="159"/>
    </row>
    <row r="133" spans="1:15">
      <c r="A133" s="6" t="s">
        <v>4</v>
      </c>
      <c r="B133" s="7" t="s">
        <v>5</v>
      </c>
      <c r="C133" s="7" t="s">
        <v>6</v>
      </c>
      <c r="D133" s="8" t="s">
        <v>7</v>
      </c>
      <c r="E133" s="8" t="s">
        <v>8</v>
      </c>
      <c r="F133" s="8" t="s">
        <v>9</v>
      </c>
      <c r="G133" s="8" t="s">
        <v>10</v>
      </c>
      <c r="H133" s="9"/>
      <c r="I133" s="7" t="s">
        <v>4</v>
      </c>
      <c r="J133" s="7" t="s">
        <v>5</v>
      </c>
      <c r="K133" s="7" t="s">
        <v>6</v>
      </c>
      <c r="L133" s="8" t="s">
        <v>7</v>
      </c>
      <c r="M133" s="8" t="s">
        <v>8</v>
      </c>
      <c r="N133" s="8" t="s">
        <v>9</v>
      </c>
      <c r="O133" s="10" t="s">
        <v>10</v>
      </c>
    </row>
    <row r="134" spans="1:15">
      <c r="A134" s="6"/>
      <c r="B134" s="7"/>
      <c r="C134" s="7"/>
      <c r="D134" s="8" t="s">
        <v>11</v>
      </c>
      <c r="E134" s="8" t="s">
        <v>11</v>
      </c>
      <c r="F134" s="8" t="s">
        <v>11</v>
      </c>
      <c r="G134" s="8" t="s">
        <v>11</v>
      </c>
      <c r="H134" s="9"/>
      <c r="I134" s="7"/>
      <c r="J134" s="7"/>
      <c r="K134" s="7"/>
      <c r="L134" s="8" t="s">
        <v>11</v>
      </c>
      <c r="M134" s="8" t="s">
        <v>11</v>
      </c>
      <c r="N134" s="8" t="s">
        <v>11</v>
      </c>
      <c r="O134" s="10" t="s">
        <v>11</v>
      </c>
    </row>
    <row r="135" spans="1:15">
      <c r="A135" s="11">
        <v>45901</v>
      </c>
      <c r="B135" s="12" t="s">
        <v>12</v>
      </c>
      <c r="C135" s="12"/>
      <c r="D135" s="13">
        <f>L127</f>
        <v>0</v>
      </c>
      <c r="E135" s="13">
        <f t="shared" ref="E135:G135" si="5">M127</f>
        <v>3522</v>
      </c>
      <c r="F135" s="13">
        <f t="shared" si="5"/>
        <v>0</v>
      </c>
      <c r="G135" s="13">
        <f t="shared" si="5"/>
        <v>0.8999999999996362</v>
      </c>
      <c r="H135" s="14"/>
      <c r="I135" s="15"/>
      <c r="J135" s="12"/>
      <c r="K135" s="12"/>
      <c r="L135" s="13"/>
      <c r="M135" s="13"/>
      <c r="N135" s="16"/>
      <c r="O135" s="17"/>
    </row>
    <row r="136" spans="1:15">
      <c r="A136" s="18"/>
      <c r="B136" s="12"/>
      <c r="C136" s="12"/>
      <c r="D136" s="13"/>
      <c r="E136" s="13"/>
      <c r="F136" s="13"/>
      <c r="G136" s="13"/>
      <c r="H136" s="14"/>
      <c r="I136" s="19"/>
      <c r="J136" s="12"/>
      <c r="K136" s="12"/>
      <c r="L136" s="13"/>
      <c r="M136" s="13"/>
      <c r="N136" s="16"/>
      <c r="O136" s="17"/>
    </row>
    <row r="137" spans="1:15">
      <c r="A137" s="18"/>
      <c r="B137" s="12"/>
      <c r="C137" s="12"/>
      <c r="D137" s="13"/>
      <c r="E137" s="13"/>
      <c r="F137" s="13"/>
      <c r="G137" s="13"/>
      <c r="H137" s="14"/>
      <c r="I137" s="19"/>
      <c r="J137" s="12"/>
      <c r="K137" s="12"/>
      <c r="L137" s="13"/>
      <c r="M137" s="13"/>
      <c r="N137" s="16"/>
      <c r="O137" s="17"/>
    </row>
    <row r="138" spans="1:15">
      <c r="A138" s="18"/>
      <c r="B138" s="12"/>
      <c r="C138" s="12"/>
      <c r="D138" s="13"/>
      <c r="E138" s="13"/>
      <c r="F138" s="13"/>
      <c r="G138" s="13"/>
      <c r="H138" s="14"/>
      <c r="I138" s="19"/>
      <c r="J138" s="12"/>
      <c r="K138" s="12"/>
      <c r="L138" s="13"/>
      <c r="M138" s="13"/>
      <c r="N138" s="16"/>
      <c r="O138" s="17"/>
    </row>
    <row r="139" spans="1:15">
      <c r="A139" s="18"/>
      <c r="B139" s="12"/>
      <c r="C139" s="12"/>
      <c r="D139" s="13"/>
      <c r="E139" s="13"/>
      <c r="F139" s="13"/>
      <c r="G139" s="13"/>
      <c r="H139" s="14"/>
      <c r="I139" s="19"/>
      <c r="J139" s="12"/>
      <c r="K139" s="12"/>
      <c r="L139" s="13"/>
      <c r="M139" s="13"/>
      <c r="N139" s="16"/>
      <c r="O139" s="17"/>
    </row>
    <row r="140" spans="1:15">
      <c r="A140" s="18"/>
      <c r="B140" s="12"/>
      <c r="C140" s="12"/>
      <c r="D140" s="13"/>
      <c r="E140" s="13"/>
      <c r="F140" s="13"/>
      <c r="G140" s="13"/>
      <c r="H140" s="14"/>
      <c r="I140" s="19"/>
      <c r="J140" s="12"/>
      <c r="K140" s="12"/>
      <c r="L140" s="13"/>
      <c r="M140" s="13"/>
      <c r="N140" s="16"/>
      <c r="O140" s="17"/>
    </row>
    <row r="141" spans="1:15">
      <c r="A141" s="20"/>
      <c r="B141" s="12"/>
      <c r="C141" s="12"/>
      <c r="D141" s="13"/>
      <c r="E141" s="13"/>
      <c r="F141" s="13"/>
      <c r="G141" s="13"/>
      <c r="H141" s="14"/>
      <c r="I141" s="12"/>
      <c r="J141" s="12"/>
      <c r="K141" s="12"/>
      <c r="L141" s="13"/>
      <c r="M141" s="13"/>
      <c r="N141" s="16"/>
      <c r="O141" s="17"/>
    </row>
    <row r="142" spans="1:15">
      <c r="A142" s="20"/>
      <c r="B142" s="12"/>
      <c r="C142" s="12"/>
      <c r="D142" s="13"/>
      <c r="E142" s="13"/>
      <c r="F142" s="13"/>
      <c r="G142" s="13"/>
      <c r="H142" s="14"/>
      <c r="I142" s="12"/>
      <c r="J142" s="12"/>
      <c r="K142" s="12"/>
      <c r="L142" s="13"/>
      <c r="M142" s="13"/>
      <c r="N142" s="16"/>
      <c r="O142" s="17"/>
    </row>
    <row r="143" spans="1:15">
      <c r="A143" s="20"/>
      <c r="B143" s="12"/>
      <c r="C143" s="12"/>
      <c r="D143" s="13"/>
      <c r="E143" s="13"/>
      <c r="F143" s="13"/>
      <c r="G143" s="13"/>
      <c r="H143" s="14"/>
      <c r="I143" s="12"/>
      <c r="J143" s="12"/>
      <c r="K143" s="12"/>
      <c r="L143" s="13"/>
      <c r="M143" s="13"/>
      <c r="N143" s="16"/>
      <c r="O143" s="17"/>
    </row>
    <row r="144" spans="1:15">
      <c r="A144" s="20"/>
      <c r="B144" s="12"/>
      <c r="C144" s="12"/>
      <c r="D144" s="21">
        <f>SUM(D135:D143)</f>
        <v>0</v>
      </c>
      <c r="E144" s="21">
        <f>SUM(E135:E143)</f>
        <v>3522</v>
      </c>
      <c r="F144" s="21">
        <f>SUM(F135:F143)</f>
        <v>0</v>
      </c>
      <c r="G144" s="21">
        <f>SUM(G135:G143)</f>
        <v>0.8999999999996362</v>
      </c>
      <c r="H144" s="14"/>
      <c r="I144" s="12"/>
      <c r="J144" s="12"/>
      <c r="K144" s="12"/>
      <c r="L144" s="21">
        <f>SUM(L135:L143)</f>
        <v>0</v>
      </c>
      <c r="M144" s="21">
        <f t="shared" ref="M144:N144" si="6">SUM(M135:M143)</f>
        <v>0</v>
      </c>
      <c r="N144" s="21">
        <f t="shared" si="6"/>
        <v>0</v>
      </c>
      <c r="O144" s="22">
        <f>SUM(O135:O143)</f>
        <v>0</v>
      </c>
    </row>
    <row r="145" spans="1:15" ht="15" thickBot="1">
      <c r="A145" s="23"/>
      <c r="B145" s="24"/>
      <c r="C145" s="24"/>
      <c r="D145" s="25"/>
      <c r="E145" s="25"/>
      <c r="F145" s="25"/>
      <c r="G145" s="25">
        <f>G144-G135</f>
        <v>0</v>
      </c>
      <c r="H145" s="24"/>
      <c r="I145" s="24" t="s">
        <v>13</v>
      </c>
      <c r="J145" s="24"/>
      <c r="K145" s="24"/>
      <c r="L145" s="26">
        <f>D144-L144</f>
        <v>0</v>
      </c>
      <c r="M145" s="26">
        <f>E144-M144</f>
        <v>3522</v>
      </c>
      <c r="N145" s="26">
        <f>F144-N144</f>
        <v>0</v>
      </c>
      <c r="O145" s="27">
        <f>G144-O144</f>
        <v>0.8999999999996362</v>
      </c>
    </row>
    <row r="148" spans="1:15">
      <c r="A148" t="s">
        <v>95</v>
      </c>
    </row>
    <row r="149" spans="1:15">
      <c r="A149" s="156" t="s">
        <v>2</v>
      </c>
      <c r="B149" s="157"/>
      <c r="C149" s="157"/>
      <c r="D149" s="157"/>
      <c r="E149" s="157"/>
      <c r="F149" s="157"/>
      <c r="G149" s="157"/>
      <c r="H149" s="5"/>
      <c r="I149" s="158" t="s">
        <v>3</v>
      </c>
      <c r="J149" s="157"/>
      <c r="K149" s="157"/>
      <c r="L149" s="157"/>
      <c r="M149" s="157"/>
      <c r="N149" s="157"/>
      <c r="O149" s="159"/>
    </row>
    <row r="150" spans="1:15">
      <c r="A150" s="6" t="s">
        <v>4</v>
      </c>
      <c r="B150" s="7" t="s">
        <v>5</v>
      </c>
      <c r="C150" s="7" t="s">
        <v>6</v>
      </c>
      <c r="D150" s="8" t="s">
        <v>7</v>
      </c>
      <c r="E150" s="8" t="s">
        <v>8</v>
      </c>
      <c r="F150" s="8" t="s">
        <v>9</v>
      </c>
      <c r="G150" s="8" t="s">
        <v>10</v>
      </c>
      <c r="H150" s="9"/>
      <c r="I150" s="7" t="s">
        <v>4</v>
      </c>
      <c r="J150" s="7" t="s">
        <v>5</v>
      </c>
      <c r="K150" s="7" t="s">
        <v>6</v>
      </c>
      <c r="L150" s="8" t="s">
        <v>7</v>
      </c>
      <c r="M150" s="8" t="s">
        <v>8</v>
      </c>
      <c r="N150" s="8" t="s">
        <v>9</v>
      </c>
      <c r="O150" s="10" t="s">
        <v>10</v>
      </c>
    </row>
    <row r="151" spans="1:15">
      <c r="A151" s="6"/>
      <c r="B151" s="7"/>
      <c r="C151" s="7"/>
      <c r="D151" s="8" t="s">
        <v>11</v>
      </c>
      <c r="E151" s="8" t="s">
        <v>11</v>
      </c>
      <c r="F151" s="8" t="s">
        <v>11</v>
      </c>
      <c r="G151" s="8" t="s">
        <v>11</v>
      </c>
      <c r="H151" s="9"/>
      <c r="I151" s="7"/>
      <c r="J151" s="7"/>
      <c r="K151" s="7"/>
      <c r="L151" s="8" t="s">
        <v>11</v>
      </c>
      <c r="M151" s="8" t="s">
        <v>11</v>
      </c>
      <c r="N151" s="8" t="s">
        <v>11</v>
      </c>
      <c r="O151" s="10" t="s">
        <v>11</v>
      </c>
    </row>
    <row r="152" spans="1:15">
      <c r="A152" s="11">
        <v>45931</v>
      </c>
      <c r="B152" s="12" t="s">
        <v>12</v>
      </c>
      <c r="C152" s="12"/>
      <c r="D152" s="13">
        <f>L145</f>
        <v>0</v>
      </c>
      <c r="E152" s="13">
        <f t="shared" ref="E152:G152" si="7">M145</f>
        <v>3522</v>
      </c>
      <c r="F152" s="13">
        <f t="shared" si="7"/>
        <v>0</v>
      </c>
      <c r="G152" s="13">
        <f t="shared" si="7"/>
        <v>0.8999999999996362</v>
      </c>
      <c r="H152" s="14"/>
      <c r="I152" s="15">
        <v>45934</v>
      </c>
      <c r="J152" s="12" t="s">
        <v>97</v>
      </c>
      <c r="K152" s="12"/>
      <c r="L152" s="13"/>
      <c r="M152" s="13"/>
      <c r="N152" s="16"/>
      <c r="O152" s="17">
        <v>1450</v>
      </c>
    </row>
    <row r="153" spans="1:15">
      <c r="A153" s="18">
        <v>45933</v>
      </c>
      <c r="B153" s="12" t="s">
        <v>96</v>
      </c>
      <c r="C153" s="12"/>
      <c r="D153" s="13"/>
      <c r="E153" s="13"/>
      <c r="F153" s="13"/>
      <c r="G153" s="13">
        <v>3000</v>
      </c>
      <c r="H153" s="14"/>
      <c r="I153" s="19"/>
      <c r="J153" s="12" t="s">
        <v>98</v>
      </c>
      <c r="K153" s="12"/>
      <c r="L153" s="13"/>
      <c r="M153" s="13"/>
      <c r="N153" s="16"/>
      <c r="O153" s="17">
        <v>795</v>
      </c>
    </row>
    <row r="154" spans="1:15">
      <c r="A154" s="18">
        <v>45956</v>
      </c>
      <c r="B154" s="12" t="s">
        <v>103</v>
      </c>
      <c r="C154" s="12"/>
      <c r="D154" s="13"/>
      <c r="E154" s="13"/>
      <c r="F154" s="13"/>
      <c r="G154" s="13">
        <v>765</v>
      </c>
      <c r="H154" s="14"/>
      <c r="I154" s="19"/>
      <c r="J154" s="12" t="s">
        <v>99</v>
      </c>
      <c r="K154" s="12"/>
      <c r="L154" s="13"/>
      <c r="M154" s="13"/>
      <c r="N154" s="16"/>
      <c r="O154" s="17">
        <v>172</v>
      </c>
    </row>
    <row r="155" spans="1:15">
      <c r="A155" s="18">
        <v>45956</v>
      </c>
      <c r="B155" s="12" t="s">
        <v>104</v>
      </c>
      <c r="C155" s="12"/>
      <c r="D155" s="13"/>
      <c r="E155" s="13"/>
      <c r="F155" s="13"/>
      <c r="G155" s="13">
        <v>300</v>
      </c>
      <c r="H155" s="14"/>
      <c r="I155" s="19"/>
      <c r="J155" s="12" t="s">
        <v>100</v>
      </c>
      <c r="K155" s="12"/>
      <c r="L155" s="13"/>
      <c r="M155" s="13"/>
      <c r="N155" s="16"/>
      <c r="O155" s="17">
        <v>570</v>
      </c>
    </row>
    <row r="156" spans="1:15">
      <c r="A156" s="18">
        <v>46303</v>
      </c>
      <c r="B156" s="12" t="s">
        <v>451</v>
      </c>
      <c r="C156" s="148" t="s">
        <v>455</v>
      </c>
      <c r="D156" s="13"/>
      <c r="E156" s="13"/>
      <c r="F156" s="13"/>
      <c r="G156" s="13">
        <v>338</v>
      </c>
      <c r="H156" s="14"/>
      <c r="I156" s="19"/>
      <c r="J156" s="12" t="s">
        <v>50</v>
      </c>
      <c r="K156" s="12"/>
      <c r="L156" s="13"/>
      <c r="M156" s="13"/>
      <c r="N156" s="16"/>
      <c r="O156" s="17">
        <v>100</v>
      </c>
    </row>
    <row r="157" spans="1:15">
      <c r="A157" s="18">
        <v>46303</v>
      </c>
      <c r="B157" s="12" t="s">
        <v>452</v>
      </c>
      <c r="C157" s="148" t="s">
        <v>456</v>
      </c>
      <c r="D157" s="13"/>
      <c r="E157" s="13"/>
      <c r="F157" s="13"/>
      <c r="G157" s="13">
        <v>420</v>
      </c>
      <c r="H157" s="14"/>
      <c r="I157" s="19"/>
      <c r="J157" s="12"/>
      <c r="K157" s="12"/>
      <c r="L157" s="13"/>
      <c r="M157" s="13"/>
      <c r="N157" s="16"/>
      <c r="O157" s="17"/>
    </row>
    <row r="158" spans="1:15">
      <c r="A158" s="18">
        <v>46310</v>
      </c>
      <c r="B158" s="12" t="s">
        <v>453</v>
      </c>
      <c r="C158" s="148" t="s">
        <v>454</v>
      </c>
      <c r="D158" s="13"/>
      <c r="E158" s="13"/>
      <c r="F158" s="13"/>
      <c r="G158" s="13">
        <v>247.52</v>
      </c>
      <c r="H158" s="14"/>
      <c r="I158" s="19">
        <v>45956</v>
      </c>
      <c r="J158" s="12" t="s">
        <v>101</v>
      </c>
      <c r="K158" s="12"/>
      <c r="L158" s="13"/>
      <c r="M158" s="13"/>
      <c r="N158" s="16"/>
      <c r="O158" s="17">
        <v>765</v>
      </c>
    </row>
    <row r="159" spans="1:15">
      <c r="A159" s="18">
        <v>46314</v>
      </c>
      <c r="B159" s="12" t="s">
        <v>459</v>
      </c>
      <c r="C159" s="148" t="s">
        <v>457</v>
      </c>
      <c r="D159" s="13"/>
      <c r="E159" s="13"/>
      <c r="F159" s="13"/>
      <c r="G159" s="13">
        <v>373</v>
      </c>
      <c r="H159" s="14"/>
      <c r="I159" s="12"/>
      <c r="J159" s="12" t="s">
        <v>102</v>
      </c>
      <c r="K159" s="12"/>
      <c r="L159" s="13"/>
      <c r="M159" s="13"/>
      <c r="N159" s="16"/>
      <c r="O159" s="17">
        <v>300</v>
      </c>
    </row>
    <row r="160" spans="1:15">
      <c r="A160" s="18">
        <v>46315</v>
      </c>
      <c r="B160" s="12" t="s">
        <v>451</v>
      </c>
      <c r="C160" s="148" t="s">
        <v>458</v>
      </c>
      <c r="D160" s="13"/>
      <c r="E160" s="13"/>
      <c r="F160" s="13"/>
      <c r="G160" s="13">
        <v>702</v>
      </c>
      <c r="H160" s="14"/>
      <c r="I160" s="12"/>
      <c r="J160" s="12"/>
      <c r="K160" s="12"/>
      <c r="L160" s="13"/>
      <c r="M160" s="13"/>
      <c r="N160" s="16"/>
      <c r="O160" s="17"/>
    </row>
    <row r="161" spans="1:15">
      <c r="A161" s="18">
        <v>46315</v>
      </c>
      <c r="B161" s="12" t="s">
        <v>452</v>
      </c>
      <c r="C161" s="148" t="s">
        <v>460</v>
      </c>
      <c r="D161" s="13"/>
      <c r="E161" s="13"/>
      <c r="F161" s="13"/>
      <c r="G161" s="13">
        <v>119</v>
      </c>
      <c r="H161" s="14"/>
      <c r="I161" s="12"/>
      <c r="J161" s="12"/>
      <c r="K161" s="12"/>
      <c r="L161" s="13"/>
      <c r="M161" s="13"/>
      <c r="N161" s="16"/>
      <c r="O161" s="17"/>
    </row>
    <row r="162" spans="1:15">
      <c r="A162" s="18">
        <v>46323</v>
      </c>
      <c r="B162" s="12" t="s">
        <v>452</v>
      </c>
      <c r="C162" s="148" t="s">
        <v>461</v>
      </c>
      <c r="D162" s="13"/>
      <c r="E162" s="13"/>
      <c r="F162" s="13"/>
      <c r="G162" s="13">
        <v>1164.19</v>
      </c>
      <c r="H162" s="14"/>
      <c r="I162" s="12"/>
      <c r="J162" s="12"/>
      <c r="K162" s="12"/>
      <c r="L162" s="13"/>
      <c r="M162" s="13"/>
      <c r="N162" s="16"/>
      <c r="O162" s="17"/>
    </row>
    <row r="163" spans="1:15">
      <c r="A163" s="18">
        <v>46297</v>
      </c>
      <c r="B163" s="12" t="s">
        <v>78</v>
      </c>
      <c r="D163" s="13"/>
      <c r="E163" s="13">
        <v>1380</v>
      </c>
      <c r="F163" s="13"/>
      <c r="G163" s="13"/>
      <c r="H163" s="14"/>
      <c r="I163" s="12"/>
      <c r="J163" s="12"/>
      <c r="K163" s="12"/>
      <c r="L163" s="13"/>
      <c r="M163" s="13"/>
      <c r="N163" s="16"/>
      <c r="O163" s="17"/>
    </row>
    <row r="164" spans="1:15">
      <c r="A164" s="18">
        <v>46308</v>
      </c>
      <c r="B164" s="12" t="s">
        <v>506</v>
      </c>
      <c r="D164" s="13"/>
      <c r="E164" s="13">
        <v>8823</v>
      </c>
      <c r="F164" s="13"/>
      <c r="G164" s="13"/>
      <c r="H164" s="14"/>
      <c r="I164" s="12"/>
      <c r="J164" s="12"/>
      <c r="K164" s="12"/>
      <c r="L164" s="13"/>
      <c r="M164" s="13"/>
      <c r="N164" s="16"/>
      <c r="O164" s="17"/>
    </row>
    <row r="165" spans="1:15">
      <c r="A165" s="18">
        <v>46308</v>
      </c>
      <c r="B165" s="12" t="s">
        <v>506</v>
      </c>
      <c r="C165" s="12"/>
      <c r="D165" s="13"/>
      <c r="E165" s="13">
        <v>3264</v>
      </c>
      <c r="F165" s="13"/>
      <c r="G165" s="13"/>
      <c r="H165" s="14"/>
      <c r="I165" s="12"/>
      <c r="J165" s="12"/>
      <c r="K165" s="12"/>
      <c r="L165" s="13"/>
      <c r="M165" s="13"/>
      <c r="N165" s="16"/>
      <c r="O165" s="17"/>
    </row>
    <row r="166" spans="1:15">
      <c r="A166" s="20"/>
      <c r="B166" s="12"/>
      <c r="C166" s="12"/>
      <c r="D166" s="13"/>
      <c r="E166" s="13"/>
      <c r="F166" s="13"/>
      <c r="G166" s="13"/>
      <c r="H166" s="14"/>
      <c r="I166" s="12"/>
      <c r="J166" s="12"/>
      <c r="K166" s="12"/>
      <c r="L166" s="13"/>
      <c r="M166" s="13"/>
      <c r="N166" s="16"/>
      <c r="O166" s="17"/>
    </row>
    <row r="167" spans="1:15">
      <c r="A167" s="20"/>
      <c r="B167" s="12"/>
      <c r="C167" s="12"/>
      <c r="D167" s="13"/>
      <c r="E167" s="13"/>
      <c r="F167" s="13"/>
      <c r="G167" s="13"/>
      <c r="H167" s="14"/>
      <c r="I167" s="12"/>
      <c r="J167" s="12"/>
      <c r="K167" s="12"/>
      <c r="L167" s="13"/>
      <c r="M167" s="13"/>
      <c r="N167" s="16"/>
      <c r="O167" s="17"/>
    </row>
    <row r="168" spans="1:15">
      <c r="A168" s="20"/>
      <c r="B168" s="12"/>
      <c r="C168" s="12"/>
      <c r="D168" s="21">
        <f>SUM(D152:D167)</f>
        <v>0</v>
      </c>
      <c r="E168" s="21">
        <f>SUM(E152:E167)</f>
        <v>16989</v>
      </c>
      <c r="F168" s="21">
        <f>SUM(F152:F167)</f>
        <v>0</v>
      </c>
      <c r="G168" s="21">
        <f>SUM(G152:G167)</f>
        <v>7429.6100000000006</v>
      </c>
      <c r="H168" s="14"/>
      <c r="I168" s="12"/>
      <c r="J168" s="12"/>
      <c r="K168" s="12"/>
      <c r="L168" s="21">
        <f>SUM(L152:L167)</f>
        <v>0</v>
      </c>
      <c r="M168" s="21">
        <f t="shared" ref="M168:N168" si="8">SUM(M152:M167)</f>
        <v>0</v>
      </c>
      <c r="N168" s="21">
        <f t="shared" si="8"/>
        <v>0</v>
      </c>
      <c r="O168" s="22">
        <f>SUM(O152:O167)</f>
        <v>4152</v>
      </c>
    </row>
    <row r="169" spans="1:15" ht="15" thickBot="1">
      <c r="A169" s="23"/>
      <c r="B169" s="24"/>
      <c r="C169" s="24"/>
      <c r="D169" s="25"/>
      <c r="E169" s="25"/>
      <c r="F169" s="25"/>
      <c r="G169" s="25">
        <f>G168-G152</f>
        <v>7428.7100000000009</v>
      </c>
      <c r="H169" s="24"/>
      <c r="I169" s="24" t="s">
        <v>13</v>
      </c>
      <c r="J169" s="24"/>
      <c r="K169" s="24"/>
      <c r="L169" s="26">
        <f>D168-L168</f>
        <v>0</v>
      </c>
      <c r="M169" s="26">
        <f>E168-M168</f>
        <v>16989</v>
      </c>
      <c r="N169" s="26">
        <f>F168-N168</f>
        <v>0</v>
      </c>
      <c r="O169" s="27">
        <f>G168-O168</f>
        <v>3277.6100000000006</v>
      </c>
    </row>
    <row r="172" spans="1:15">
      <c r="A172" t="s">
        <v>105</v>
      </c>
    </row>
    <row r="173" spans="1:15">
      <c r="A173" s="156" t="s">
        <v>2</v>
      </c>
      <c r="B173" s="157"/>
      <c r="C173" s="157"/>
      <c r="D173" s="157"/>
      <c r="E173" s="157"/>
      <c r="F173" s="157"/>
      <c r="G173" s="157"/>
      <c r="H173" s="5"/>
      <c r="I173" s="158" t="s">
        <v>3</v>
      </c>
      <c r="J173" s="157"/>
      <c r="K173" s="157"/>
      <c r="L173" s="157"/>
      <c r="M173" s="157"/>
      <c r="N173" s="157"/>
      <c r="O173" s="159"/>
    </row>
    <row r="174" spans="1:15">
      <c r="A174" s="6" t="s">
        <v>4</v>
      </c>
      <c r="B174" s="7" t="s">
        <v>5</v>
      </c>
      <c r="C174" s="7" t="s">
        <v>6</v>
      </c>
      <c r="D174" s="8" t="s">
        <v>7</v>
      </c>
      <c r="E174" s="8" t="s">
        <v>8</v>
      </c>
      <c r="F174" s="8" t="s">
        <v>9</v>
      </c>
      <c r="G174" s="8" t="s">
        <v>10</v>
      </c>
      <c r="H174" s="9"/>
      <c r="I174" s="7" t="s">
        <v>4</v>
      </c>
      <c r="J174" s="7" t="s">
        <v>5</v>
      </c>
      <c r="K174" s="7" t="s">
        <v>6</v>
      </c>
      <c r="L174" s="8" t="s">
        <v>7</v>
      </c>
      <c r="M174" s="8" t="s">
        <v>8</v>
      </c>
      <c r="N174" s="8" t="s">
        <v>9</v>
      </c>
      <c r="O174" s="10" t="s">
        <v>10</v>
      </c>
    </row>
    <row r="175" spans="1:15">
      <c r="A175" s="6"/>
      <c r="B175" s="7"/>
      <c r="C175" s="7"/>
      <c r="D175" s="8" t="s">
        <v>11</v>
      </c>
      <c r="E175" s="8" t="s">
        <v>11</v>
      </c>
      <c r="F175" s="8" t="s">
        <v>11</v>
      </c>
      <c r="G175" s="8" t="s">
        <v>11</v>
      </c>
      <c r="H175" s="9"/>
      <c r="I175" s="7"/>
      <c r="J175" s="7"/>
      <c r="K175" s="7"/>
      <c r="L175" s="8" t="s">
        <v>11</v>
      </c>
      <c r="M175" s="8" t="s">
        <v>11</v>
      </c>
      <c r="N175" s="8" t="s">
        <v>11</v>
      </c>
      <c r="O175" s="10" t="s">
        <v>11</v>
      </c>
    </row>
    <row r="176" spans="1:15">
      <c r="A176" s="150">
        <v>45962</v>
      </c>
      <c r="B176" s="12" t="s">
        <v>12</v>
      </c>
      <c r="C176" s="12"/>
      <c r="D176" s="13">
        <f>L169</f>
        <v>0</v>
      </c>
      <c r="E176" s="13">
        <f t="shared" ref="E176" si="9">M169</f>
        <v>16989</v>
      </c>
      <c r="F176" s="13">
        <f t="shared" ref="F176" si="10">N169</f>
        <v>0</v>
      </c>
      <c r="G176" s="13">
        <f t="shared" ref="G176" si="11">O169</f>
        <v>3277.6100000000006</v>
      </c>
      <c r="H176" s="14"/>
      <c r="I176" s="149">
        <v>45966</v>
      </c>
      <c r="J176" s="12" t="s">
        <v>106</v>
      </c>
      <c r="K176" s="12"/>
      <c r="L176" s="13"/>
      <c r="M176" s="13"/>
      <c r="N176" s="16"/>
      <c r="O176" s="17">
        <v>5300</v>
      </c>
    </row>
    <row r="177" spans="1:15">
      <c r="A177" s="150">
        <v>45966</v>
      </c>
      <c r="B177" s="12" t="s">
        <v>108</v>
      </c>
      <c r="C177" s="12"/>
      <c r="D177" s="13"/>
      <c r="E177" s="13"/>
      <c r="F177" s="13"/>
      <c r="G177" s="13">
        <v>7500</v>
      </c>
      <c r="H177" s="14"/>
      <c r="I177" s="149"/>
      <c r="J177" s="12" t="s">
        <v>107</v>
      </c>
      <c r="K177" s="12"/>
      <c r="L177" s="13"/>
      <c r="M177" s="13"/>
      <c r="N177" s="16"/>
      <c r="O177" s="17">
        <v>1500</v>
      </c>
    </row>
    <row r="178" spans="1:15">
      <c r="A178" s="150">
        <v>46332</v>
      </c>
      <c r="B178" s="12" t="s">
        <v>109</v>
      </c>
      <c r="C178" s="12"/>
      <c r="D178" s="13"/>
      <c r="E178" s="13">
        <v>10000</v>
      </c>
      <c r="F178" s="13"/>
      <c r="G178" s="13"/>
      <c r="H178" s="14"/>
      <c r="I178" s="149"/>
      <c r="J178" s="12" t="s">
        <v>111</v>
      </c>
      <c r="K178" s="12"/>
      <c r="L178" s="13"/>
      <c r="M178" s="13"/>
      <c r="N178" s="16"/>
      <c r="O178" s="17">
        <v>700</v>
      </c>
    </row>
    <row r="179" spans="1:15">
      <c r="A179" s="150">
        <v>46332</v>
      </c>
      <c r="B179" s="12" t="s">
        <v>110</v>
      </c>
      <c r="C179" s="12"/>
      <c r="D179" s="13"/>
      <c r="E179" s="13">
        <v>4493.99</v>
      </c>
      <c r="F179" s="13"/>
      <c r="G179" s="13"/>
      <c r="H179" s="14"/>
      <c r="I179" s="149">
        <v>46338</v>
      </c>
      <c r="J179" s="12" t="s">
        <v>112</v>
      </c>
      <c r="K179" s="148" t="s">
        <v>386</v>
      </c>
      <c r="L179" s="13"/>
      <c r="M179" s="17">
        <v>1000</v>
      </c>
      <c r="N179" s="16"/>
      <c r="O179" s="17"/>
    </row>
    <row r="180" spans="1:15">
      <c r="A180" s="150">
        <v>46349</v>
      </c>
      <c r="B180" s="12" t="s">
        <v>447</v>
      </c>
      <c r="C180" s="148" t="s">
        <v>444</v>
      </c>
      <c r="D180" s="13"/>
      <c r="E180" s="13">
        <v>24000</v>
      </c>
      <c r="F180" s="13"/>
      <c r="G180" s="13"/>
      <c r="H180" s="14"/>
      <c r="I180" s="149">
        <v>46338</v>
      </c>
      <c r="J180" s="12" t="s">
        <v>113</v>
      </c>
      <c r="K180" s="148" t="s">
        <v>386</v>
      </c>
      <c r="L180" s="13"/>
      <c r="M180" s="17">
        <v>800</v>
      </c>
      <c r="N180" s="16"/>
      <c r="O180" s="17"/>
    </row>
    <row r="181" spans="1:15">
      <c r="A181" s="150">
        <v>46349</v>
      </c>
      <c r="B181" s="12" t="s">
        <v>446</v>
      </c>
      <c r="C181" s="148" t="s">
        <v>445</v>
      </c>
      <c r="D181" s="13"/>
      <c r="E181" s="13">
        <v>44155.18</v>
      </c>
      <c r="F181" s="13"/>
      <c r="G181" s="13"/>
      <c r="H181" s="14"/>
      <c r="I181" s="149">
        <v>46338</v>
      </c>
      <c r="J181" s="12" t="s">
        <v>114</v>
      </c>
      <c r="K181" s="148" t="s">
        <v>386</v>
      </c>
      <c r="L181" s="13"/>
      <c r="M181" s="17">
        <v>1319.32</v>
      </c>
      <c r="N181" s="16"/>
      <c r="O181" s="17"/>
    </row>
    <row r="182" spans="1:15">
      <c r="A182" s="150">
        <v>46328</v>
      </c>
      <c r="B182" s="12" t="s">
        <v>464</v>
      </c>
      <c r="C182" s="148" t="s">
        <v>462</v>
      </c>
      <c r="D182" s="13"/>
      <c r="E182" s="12"/>
      <c r="F182" s="13"/>
      <c r="G182" s="13">
        <v>85</v>
      </c>
      <c r="H182" s="14"/>
      <c r="I182" s="149">
        <v>46338</v>
      </c>
      <c r="J182" s="12" t="s">
        <v>115</v>
      </c>
      <c r="K182" s="148" t="s">
        <v>387</v>
      </c>
      <c r="L182" s="13"/>
      <c r="M182" s="17">
        <v>1374.67</v>
      </c>
      <c r="N182" s="16"/>
      <c r="O182" s="17"/>
    </row>
    <row r="183" spans="1:15">
      <c r="A183" s="150">
        <v>46329</v>
      </c>
      <c r="B183" s="12" t="s">
        <v>465</v>
      </c>
      <c r="C183" s="148" t="s">
        <v>463</v>
      </c>
      <c r="D183" s="13"/>
      <c r="E183" s="12"/>
      <c r="F183" s="13"/>
      <c r="G183" s="13">
        <v>327</v>
      </c>
      <c r="H183" s="14"/>
      <c r="I183" s="149">
        <v>46350</v>
      </c>
      <c r="J183" s="12" t="s">
        <v>388</v>
      </c>
      <c r="K183" s="148" t="s">
        <v>389</v>
      </c>
      <c r="L183" s="13"/>
      <c r="M183" s="13">
        <v>19844.8</v>
      </c>
      <c r="N183" s="16"/>
      <c r="O183" s="17"/>
    </row>
    <row r="184" spans="1:15">
      <c r="A184" s="150">
        <v>46329</v>
      </c>
      <c r="B184" s="12" t="s">
        <v>466</v>
      </c>
      <c r="C184" s="148" t="s">
        <v>467</v>
      </c>
      <c r="D184" s="13"/>
      <c r="E184" s="12"/>
      <c r="F184" s="13"/>
      <c r="G184" s="13">
        <v>328</v>
      </c>
      <c r="H184" s="14"/>
      <c r="I184" s="149">
        <v>46350</v>
      </c>
      <c r="J184" s="12" t="s">
        <v>391</v>
      </c>
      <c r="K184" s="148" t="s">
        <v>390</v>
      </c>
      <c r="L184" s="13"/>
      <c r="M184" s="13">
        <v>4465.08</v>
      </c>
      <c r="N184" s="16"/>
      <c r="O184" s="17"/>
    </row>
    <row r="185" spans="1:15">
      <c r="A185" s="150">
        <v>46336</v>
      </c>
      <c r="B185" s="12" t="s">
        <v>464</v>
      </c>
      <c r="C185" s="148" t="s">
        <v>468</v>
      </c>
      <c r="D185" s="13"/>
      <c r="E185" s="12"/>
      <c r="F185" s="13"/>
      <c r="G185" s="13">
        <v>105.5</v>
      </c>
      <c r="H185" s="14"/>
      <c r="I185" s="149">
        <v>46350</v>
      </c>
      <c r="J185" s="12" t="s">
        <v>388</v>
      </c>
      <c r="K185" s="148" t="s">
        <v>392</v>
      </c>
      <c r="L185" s="13"/>
      <c r="M185" s="13">
        <v>19321.04</v>
      </c>
      <c r="N185" s="16"/>
      <c r="O185" s="17"/>
    </row>
    <row r="186" spans="1:15">
      <c r="A186" s="150">
        <v>46336</v>
      </c>
      <c r="B186" s="12" t="s">
        <v>464</v>
      </c>
      <c r="C186" s="148" t="s">
        <v>469</v>
      </c>
      <c r="D186" s="13"/>
      <c r="E186" s="12"/>
      <c r="F186" s="13"/>
      <c r="G186" s="13">
        <v>35</v>
      </c>
      <c r="H186" s="14"/>
      <c r="I186" s="149">
        <v>46350</v>
      </c>
      <c r="J186" s="12" t="s">
        <v>391</v>
      </c>
      <c r="K186" s="148" t="s">
        <v>393</v>
      </c>
      <c r="L186" s="13"/>
      <c r="M186" s="13">
        <v>4347.2299999999996</v>
      </c>
      <c r="N186" s="16"/>
      <c r="O186" s="17"/>
    </row>
    <row r="187" spans="1:15">
      <c r="A187" s="150">
        <v>46336</v>
      </c>
      <c r="B187" s="12" t="s">
        <v>471</v>
      </c>
      <c r="C187" s="148" t="s">
        <v>470</v>
      </c>
      <c r="D187" s="13"/>
      <c r="E187" s="12"/>
      <c r="F187" s="13"/>
      <c r="G187" s="13">
        <v>400</v>
      </c>
      <c r="H187" s="14"/>
      <c r="I187" s="12"/>
      <c r="J187" s="12"/>
      <c r="K187" s="12"/>
      <c r="L187" s="13"/>
      <c r="M187" s="13"/>
      <c r="N187" s="16"/>
      <c r="O187" s="17"/>
    </row>
    <row r="188" spans="1:15">
      <c r="A188" s="150">
        <v>46336</v>
      </c>
      <c r="B188" s="12" t="s">
        <v>466</v>
      </c>
      <c r="C188" s="148" t="s">
        <v>472</v>
      </c>
      <c r="D188" s="13"/>
      <c r="E188" s="13"/>
      <c r="F188" s="13"/>
      <c r="G188" s="13">
        <v>465</v>
      </c>
      <c r="H188" s="14"/>
      <c r="I188" s="12"/>
      <c r="J188" s="12"/>
      <c r="K188" s="12"/>
      <c r="L188" s="13"/>
      <c r="M188" s="13"/>
      <c r="N188" s="16"/>
      <c r="O188" s="17"/>
    </row>
    <row r="189" spans="1:15">
      <c r="A189" s="150">
        <v>46338</v>
      </c>
      <c r="B189" s="12" t="s">
        <v>465</v>
      </c>
      <c r="C189" s="148" t="s">
        <v>473</v>
      </c>
      <c r="D189" s="13"/>
      <c r="E189" s="13"/>
      <c r="F189" s="13"/>
      <c r="G189" s="13">
        <v>634</v>
      </c>
      <c r="H189" s="14"/>
      <c r="I189" s="12"/>
      <c r="J189" s="12"/>
      <c r="K189" s="12"/>
      <c r="L189" s="13"/>
      <c r="M189" s="13"/>
      <c r="N189" s="16"/>
      <c r="O189" s="17"/>
    </row>
    <row r="190" spans="1:15">
      <c r="A190" s="150">
        <v>46338</v>
      </c>
      <c r="B190" s="12" t="s">
        <v>465</v>
      </c>
      <c r="C190" s="148" t="s">
        <v>474</v>
      </c>
      <c r="D190" s="13"/>
      <c r="E190" s="13"/>
      <c r="F190" s="13"/>
      <c r="G190" s="13">
        <v>338</v>
      </c>
      <c r="H190" s="14"/>
      <c r="I190" s="12"/>
      <c r="J190" s="12"/>
      <c r="K190" s="12"/>
      <c r="L190" s="13"/>
      <c r="M190" s="13"/>
      <c r="N190" s="16"/>
      <c r="O190" s="17"/>
    </row>
    <row r="191" spans="1:15">
      <c r="A191" s="150">
        <v>46342</v>
      </c>
      <c r="B191" s="12" t="s">
        <v>464</v>
      </c>
      <c r="C191" s="148" t="s">
        <v>475</v>
      </c>
      <c r="D191" s="13"/>
      <c r="E191" s="13"/>
      <c r="F191" s="13"/>
      <c r="G191" s="13">
        <v>28</v>
      </c>
      <c r="H191" s="14"/>
      <c r="I191" s="12"/>
      <c r="J191" s="12"/>
      <c r="K191" s="12"/>
      <c r="L191" s="13"/>
      <c r="M191" s="13"/>
      <c r="N191" s="16"/>
      <c r="O191" s="17"/>
    </row>
    <row r="192" spans="1:15">
      <c r="A192" s="150">
        <v>46343</v>
      </c>
      <c r="B192" s="12" t="s">
        <v>466</v>
      </c>
      <c r="C192" s="148" t="s">
        <v>476</v>
      </c>
      <c r="D192" s="13"/>
      <c r="E192" s="13"/>
      <c r="F192" s="13"/>
      <c r="G192" s="13">
        <v>873</v>
      </c>
      <c r="H192" s="14"/>
      <c r="I192" s="12"/>
      <c r="J192" s="12"/>
      <c r="K192" s="12"/>
      <c r="L192" s="13"/>
      <c r="M192" s="13"/>
      <c r="N192" s="16"/>
      <c r="O192" s="17"/>
    </row>
    <row r="193" spans="1:15">
      <c r="A193" s="150">
        <v>46346</v>
      </c>
      <c r="B193" s="12" t="s">
        <v>465</v>
      </c>
      <c r="C193" s="148" t="s">
        <v>477</v>
      </c>
      <c r="D193" s="13"/>
      <c r="E193" s="13"/>
      <c r="F193" s="13"/>
      <c r="G193" s="13">
        <v>418</v>
      </c>
      <c r="H193" s="14"/>
      <c r="I193" s="12"/>
      <c r="J193" s="12"/>
      <c r="K193" s="12"/>
      <c r="L193" s="13"/>
      <c r="M193" s="13"/>
      <c r="N193" s="16"/>
      <c r="O193" s="17"/>
    </row>
    <row r="194" spans="1:15">
      <c r="A194" s="150">
        <v>46346</v>
      </c>
      <c r="B194" s="12" t="s">
        <v>464</v>
      </c>
      <c r="C194" s="148" t="s">
        <v>478</v>
      </c>
      <c r="D194" s="13"/>
      <c r="E194" s="13"/>
      <c r="F194" s="13"/>
      <c r="G194" s="13">
        <v>32</v>
      </c>
      <c r="H194" s="14"/>
      <c r="I194" s="12"/>
      <c r="J194" s="12"/>
      <c r="K194" s="12"/>
      <c r="L194" s="13"/>
      <c r="M194" s="13"/>
      <c r="N194" s="16"/>
      <c r="O194" s="17"/>
    </row>
    <row r="195" spans="1:15">
      <c r="A195" s="150">
        <v>46350</v>
      </c>
      <c r="B195" s="12" t="s">
        <v>507</v>
      </c>
      <c r="C195" s="148"/>
      <c r="D195" s="13"/>
      <c r="E195" s="13">
        <v>8293</v>
      </c>
      <c r="F195" s="13"/>
      <c r="G195" s="13"/>
      <c r="H195" s="14"/>
      <c r="I195" s="12"/>
      <c r="J195" s="12"/>
      <c r="K195" s="12"/>
      <c r="L195" s="13"/>
      <c r="M195" s="13"/>
      <c r="N195" s="16"/>
      <c r="O195" s="17"/>
    </row>
    <row r="196" spans="1:15">
      <c r="A196" s="150">
        <v>46336</v>
      </c>
      <c r="B196" s="12" t="s">
        <v>78</v>
      </c>
      <c r="C196" s="148"/>
      <c r="D196" s="13"/>
      <c r="E196" s="13">
        <v>1800</v>
      </c>
      <c r="F196" s="13"/>
      <c r="G196" s="13"/>
      <c r="H196" s="14"/>
      <c r="I196" s="12"/>
      <c r="J196" s="12"/>
      <c r="K196" s="12"/>
      <c r="L196" s="13"/>
      <c r="M196" s="13"/>
      <c r="N196" s="16"/>
      <c r="O196" s="17"/>
    </row>
    <row r="197" spans="1:15">
      <c r="A197" s="150">
        <v>46346</v>
      </c>
      <c r="B197" s="12" t="s">
        <v>78</v>
      </c>
      <c r="C197" s="148"/>
      <c r="D197" s="13"/>
      <c r="E197" s="13">
        <v>4904</v>
      </c>
      <c r="F197" s="13"/>
      <c r="G197" s="13"/>
      <c r="H197" s="14"/>
      <c r="I197" s="12"/>
      <c r="J197" s="12"/>
      <c r="K197" s="12"/>
      <c r="L197" s="13"/>
      <c r="M197" s="13"/>
      <c r="N197" s="16"/>
      <c r="O197" s="17"/>
    </row>
    <row r="198" spans="1:15">
      <c r="A198" s="150"/>
      <c r="B198" s="12"/>
      <c r="C198" s="148"/>
      <c r="D198" s="13"/>
      <c r="E198" s="13"/>
      <c r="F198" s="13"/>
      <c r="G198" s="13"/>
      <c r="H198" s="14"/>
      <c r="I198" s="12"/>
      <c r="J198" s="12"/>
      <c r="K198" s="12"/>
      <c r="L198" s="13"/>
      <c r="M198" s="13"/>
      <c r="N198" s="16"/>
      <c r="O198" s="17"/>
    </row>
    <row r="199" spans="1:15">
      <c r="A199" s="150"/>
      <c r="B199" s="12"/>
      <c r="C199" s="148"/>
      <c r="D199" s="13"/>
      <c r="E199" s="13"/>
      <c r="F199" s="13"/>
      <c r="G199" s="13"/>
      <c r="H199" s="14"/>
      <c r="I199" s="12"/>
      <c r="J199" s="12"/>
      <c r="K199" s="12"/>
      <c r="L199" s="13"/>
      <c r="M199" s="13"/>
      <c r="N199" s="16"/>
      <c r="O199" s="17"/>
    </row>
    <row r="200" spans="1:15">
      <c r="A200" s="150"/>
      <c r="B200" s="12"/>
      <c r="C200" s="148"/>
      <c r="D200" s="13"/>
      <c r="E200" s="13"/>
      <c r="F200" s="13"/>
      <c r="G200" s="13"/>
      <c r="H200" s="14"/>
      <c r="I200" s="12"/>
      <c r="J200" s="12"/>
      <c r="K200" s="12"/>
      <c r="L200" s="13"/>
      <c r="M200" s="13"/>
      <c r="N200" s="16"/>
      <c r="O200" s="17"/>
    </row>
    <row r="201" spans="1:15">
      <c r="A201" s="150"/>
      <c r="B201" s="12"/>
      <c r="C201" s="148"/>
      <c r="D201" s="13"/>
      <c r="E201" s="13"/>
      <c r="F201" s="13"/>
      <c r="G201" s="13"/>
      <c r="H201" s="14"/>
      <c r="I201" s="12"/>
      <c r="J201" s="12"/>
      <c r="K201" s="12"/>
      <c r="L201" s="13"/>
      <c r="M201" s="13"/>
      <c r="N201" s="16"/>
      <c r="O201" s="17"/>
    </row>
    <row r="202" spans="1:15">
      <c r="A202" s="150"/>
      <c r="B202" s="12"/>
      <c r="C202" s="148"/>
      <c r="D202" s="13"/>
      <c r="E202" s="13"/>
      <c r="F202" s="13"/>
      <c r="G202" s="13"/>
      <c r="H202" s="14"/>
      <c r="I202" s="12"/>
      <c r="J202" s="12"/>
      <c r="K202" s="12"/>
      <c r="L202" s="13"/>
      <c r="M202" s="13"/>
      <c r="N202" s="16"/>
      <c r="O202" s="17"/>
    </row>
    <row r="203" spans="1:15">
      <c r="A203" s="150"/>
      <c r="B203" s="12"/>
      <c r="C203" s="148"/>
      <c r="D203" s="13"/>
      <c r="E203" s="13"/>
      <c r="F203" s="13"/>
      <c r="G203" s="13"/>
      <c r="H203" s="14"/>
      <c r="I203" s="12"/>
      <c r="J203" s="12"/>
      <c r="K203" s="12"/>
      <c r="L203" s="13"/>
      <c r="M203" s="13"/>
      <c r="N203" s="16"/>
      <c r="O203" s="17"/>
    </row>
    <row r="204" spans="1:15">
      <c r="A204" s="150"/>
      <c r="B204" s="12"/>
      <c r="C204" s="148"/>
      <c r="D204" s="13"/>
      <c r="E204" s="13"/>
      <c r="F204" s="13"/>
      <c r="G204" s="13"/>
      <c r="H204" s="14"/>
      <c r="I204" s="12"/>
      <c r="J204" s="12"/>
      <c r="K204" s="12"/>
      <c r="L204" s="13"/>
      <c r="M204" s="13"/>
      <c r="N204" s="16"/>
      <c r="O204" s="17"/>
    </row>
    <row r="205" spans="1:15">
      <c r="A205" s="150"/>
      <c r="B205" s="12"/>
      <c r="C205" s="148"/>
      <c r="D205" s="13"/>
      <c r="E205" s="13"/>
      <c r="F205" s="13"/>
      <c r="G205" s="13"/>
      <c r="H205" s="14"/>
      <c r="I205" s="12"/>
      <c r="J205" s="12"/>
      <c r="K205" s="12"/>
      <c r="L205" s="13"/>
      <c r="M205" s="13"/>
      <c r="N205" s="16"/>
      <c r="O205" s="17"/>
    </row>
    <row r="206" spans="1:15">
      <c r="A206" s="150"/>
      <c r="B206" s="12"/>
      <c r="C206" s="148"/>
      <c r="D206" s="13"/>
      <c r="E206" s="13"/>
      <c r="F206" s="13"/>
      <c r="G206" s="13"/>
      <c r="H206" s="14"/>
      <c r="I206" s="12"/>
      <c r="J206" s="12"/>
      <c r="K206" s="12"/>
      <c r="L206" s="13"/>
      <c r="M206" s="13"/>
      <c r="N206" s="16"/>
      <c r="O206" s="17"/>
    </row>
    <row r="207" spans="1:15">
      <c r="A207" s="150"/>
      <c r="B207" s="12"/>
      <c r="C207" s="148"/>
      <c r="D207" s="13"/>
      <c r="E207" s="13"/>
      <c r="F207" s="13"/>
      <c r="G207" s="13"/>
      <c r="H207" s="14"/>
      <c r="I207" s="12"/>
      <c r="J207" s="12"/>
      <c r="K207" s="12"/>
      <c r="L207" s="13"/>
      <c r="M207" s="13"/>
      <c r="N207" s="16"/>
      <c r="O207" s="17"/>
    </row>
    <row r="208" spans="1:15">
      <c r="A208" s="150"/>
      <c r="B208" s="12"/>
      <c r="C208" s="148"/>
      <c r="D208" s="13"/>
      <c r="E208" s="13"/>
      <c r="F208" s="13"/>
      <c r="G208" s="13"/>
      <c r="H208" s="14"/>
      <c r="I208" s="12"/>
      <c r="J208" s="12"/>
      <c r="K208" s="12"/>
      <c r="L208" s="13"/>
      <c r="M208" s="13"/>
      <c r="N208" s="16"/>
      <c r="O208" s="17"/>
    </row>
    <row r="209" spans="1:15">
      <c r="A209" s="150"/>
      <c r="B209" s="12"/>
      <c r="C209" s="148"/>
      <c r="D209" s="13"/>
      <c r="E209" s="13"/>
      <c r="F209" s="13"/>
      <c r="G209" s="13"/>
      <c r="H209" s="14"/>
      <c r="I209" s="12"/>
      <c r="J209" s="12"/>
      <c r="K209" s="12"/>
      <c r="L209" s="13"/>
      <c r="M209" s="13"/>
      <c r="N209" s="16"/>
      <c r="O209" s="17"/>
    </row>
    <row r="210" spans="1:15">
      <c r="A210" s="150"/>
      <c r="B210" s="12"/>
      <c r="C210" s="148"/>
      <c r="D210" s="13"/>
      <c r="E210" s="13"/>
      <c r="F210" s="13"/>
      <c r="G210" s="13"/>
      <c r="H210" s="14"/>
      <c r="I210" s="12"/>
      <c r="J210" s="12"/>
      <c r="K210" s="12"/>
      <c r="L210" s="13"/>
      <c r="M210" s="13"/>
      <c r="N210" s="16"/>
      <c r="O210" s="17"/>
    </row>
    <row r="211" spans="1:15">
      <c r="A211" s="150"/>
      <c r="B211" s="12"/>
      <c r="C211" s="12"/>
      <c r="D211" s="13"/>
      <c r="E211" s="13"/>
      <c r="F211" s="13"/>
      <c r="G211" s="13"/>
      <c r="H211" s="14"/>
      <c r="I211" s="12"/>
      <c r="J211" s="12"/>
      <c r="K211" s="12"/>
      <c r="L211" s="13"/>
      <c r="M211" s="13"/>
      <c r="N211" s="16"/>
      <c r="O211" s="17"/>
    </row>
    <row r="212" spans="1:15">
      <c r="A212" s="150"/>
      <c r="B212" s="12"/>
      <c r="C212" s="12"/>
      <c r="D212" s="21">
        <f>SUM(D176:D211)</f>
        <v>0</v>
      </c>
      <c r="E212" s="21">
        <f>SUM(E176:E211)</f>
        <v>114635.17</v>
      </c>
      <c r="F212" s="21">
        <f>SUM(F176:F211)</f>
        <v>0</v>
      </c>
      <c r="G212" s="21">
        <f>SUM(G176:G211)</f>
        <v>14846.11</v>
      </c>
      <c r="H212" s="14"/>
      <c r="I212" s="12"/>
      <c r="J212" s="12"/>
      <c r="K212" s="12"/>
      <c r="L212" s="21">
        <f>SUM(L176:L211)</f>
        <v>0</v>
      </c>
      <c r="M212" s="21">
        <f t="shared" ref="M212:N212" si="12">SUM(M176:M211)</f>
        <v>52472.14</v>
      </c>
      <c r="N212" s="21">
        <f t="shared" si="12"/>
        <v>0</v>
      </c>
      <c r="O212" s="22">
        <f>SUM(O176:O211)</f>
        <v>7500</v>
      </c>
    </row>
    <row r="213" spans="1:15" ht="15" thickBot="1">
      <c r="A213" s="23"/>
      <c r="B213" s="24"/>
      <c r="C213" s="24"/>
      <c r="D213" s="25"/>
      <c r="E213" s="25"/>
      <c r="F213" s="25"/>
      <c r="G213" s="25">
        <f>G212-G176</f>
        <v>11568.5</v>
      </c>
      <c r="H213" s="24"/>
      <c r="I213" s="24" t="s">
        <v>13</v>
      </c>
      <c r="J213" s="24"/>
      <c r="K213" s="24"/>
      <c r="L213" s="26">
        <f>D212-L212</f>
        <v>0</v>
      </c>
      <c r="M213" s="26">
        <f>E212-M212</f>
        <v>62163.03</v>
      </c>
      <c r="N213" s="26">
        <f>F212-N212</f>
        <v>0</v>
      </c>
      <c r="O213" s="27">
        <f>G212-O212</f>
        <v>7346.1100000000006</v>
      </c>
    </row>
    <row r="216" spans="1:15">
      <c r="A216" t="s">
        <v>168</v>
      </c>
    </row>
    <row r="217" spans="1:15">
      <c r="A217" s="156" t="s">
        <v>2</v>
      </c>
      <c r="B217" s="157"/>
      <c r="C217" s="157"/>
      <c r="D217" s="157"/>
      <c r="E217" s="157"/>
      <c r="F217" s="157"/>
      <c r="G217" s="157"/>
      <c r="H217" s="5"/>
      <c r="I217" s="158" t="s">
        <v>3</v>
      </c>
      <c r="J217" s="157"/>
      <c r="K217" s="157"/>
      <c r="L217" s="157"/>
      <c r="M217" s="157"/>
      <c r="N217" s="157"/>
      <c r="O217" s="159"/>
    </row>
    <row r="218" spans="1:15">
      <c r="A218" s="6" t="s">
        <v>4</v>
      </c>
      <c r="B218" s="7" t="s">
        <v>5</v>
      </c>
      <c r="C218" s="7" t="s">
        <v>6</v>
      </c>
      <c r="D218" s="8" t="s">
        <v>7</v>
      </c>
      <c r="E218" s="8" t="s">
        <v>8</v>
      </c>
      <c r="F218" s="8" t="s">
        <v>9</v>
      </c>
      <c r="G218" s="8" t="s">
        <v>10</v>
      </c>
      <c r="H218" s="9"/>
      <c r="I218" s="7" t="s">
        <v>4</v>
      </c>
      <c r="J218" s="7" t="s">
        <v>5</v>
      </c>
      <c r="K218" s="7" t="s">
        <v>6</v>
      </c>
      <c r="L218" s="8" t="s">
        <v>7</v>
      </c>
      <c r="M218" s="8" t="s">
        <v>8</v>
      </c>
      <c r="N218" s="8" t="s">
        <v>9</v>
      </c>
      <c r="O218" s="10" t="s">
        <v>10</v>
      </c>
    </row>
    <row r="219" spans="1:15">
      <c r="A219" s="6"/>
      <c r="B219" s="7"/>
      <c r="C219" s="7"/>
      <c r="D219" s="8" t="s">
        <v>11</v>
      </c>
      <c r="E219" s="8" t="s">
        <v>11</v>
      </c>
      <c r="F219" s="8" t="s">
        <v>11</v>
      </c>
      <c r="G219" s="8" t="s">
        <v>11</v>
      </c>
      <c r="H219" s="9"/>
      <c r="I219" s="151"/>
      <c r="J219" s="7"/>
      <c r="K219" s="7"/>
      <c r="L219" s="8" t="s">
        <v>11</v>
      </c>
      <c r="M219" s="8" t="s">
        <v>11</v>
      </c>
      <c r="N219" s="8" t="s">
        <v>11</v>
      </c>
      <c r="O219" s="10" t="s">
        <v>11</v>
      </c>
    </row>
    <row r="220" spans="1:15">
      <c r="A220" s="150">
        <v>45992</v>
      </c>
      <c r="B220" s="12" t="s">
        <v>12</v>
      </c>
      <c r="C220" s="12"/>
      <c r="D220" s="13">
        <f>L213</f>
        <v>0</v>
      </c>
      <c r="E220" s="13">
        <f t="shared" ref="E220" si="13">M213</f>
        <v>62163.03</v>
      </c>
      <c r="F220" s="13">
        <f t="shared" ref="F220" si="14">N213</f>
        <v>0</v>
      </c>
      <c r="G220" s="13">
        <f t="shared" ref="G220" si="15">O213</f>
        <v>7346.1100000000006</v>
      </c>
      <c r="H220" s="14"/>
      <c r="I220" s="149">
        <v>46360</v>
      </c>
      <c r="J220" s="12" t="s">
        <v>395</v>
      </c>
      <c r="K220" s="148" t="s">
        <v>394</v>
      </c>
      <c r="L220" s="13"/>
      <c r="M220" s="13">
        <v>1000</v>
      </c>
      <c r="N220" s="16"/>
      <c r="O220" s="17"/>
    </row>
    <row r="221" spans="1:15">
      <c r="A221" s="150">
        <v>46381</v>
      </c>
      <c r="B221" s="12" t="s">
        <v>448</v>
      </c>
      <c r="C221" s="12"/>
      <c r="D221" s="13"/>
      <c r="E221" s="13">
        <v>6544.35</v>
      </c>
      <c r="F221" s="13"/>
      <c r="G221" s="13"/>
      <c r="H221" s="14"/>
      <c r="I221" s="149">
        <v>46360</v>
      </c>
      <c r="J221" s="12" t="s">
        <v>396</v>
      </c>
      <c r="K221" s="148" t="s">
        <v>394</v>
      </c>
      <c r="L221" s="13"/>
      <c r="M221" s="13">
        <v>3000</v>
      </c>
      <c r="N221" s="16"/>
      <c r="O221" s="17"/>
    </row>
    <row r="222" spans="1:15">
      <c r="A222" s="150">
        <v>46384</v>
      </c>
      <c r="B222" s="12" t="s">
        <v>449</v>
      </c>
      <c r="C222" s="12"/>
      <c r="D222" s="13"/>
      <c r="E222" s="13">
        <v>255</v>
      </c>
      <c r="F222" s="13"/>
      <c r="G222" s="13"/>
      <c r="H222" s="14"/>
      <c r="I222" s="149">
        <v>46360</v>
      </c>
      <c r="J222" s="12" t="s">
        <v>397</v>
      </c>
      <c r="K222" s="148" t="s">
        <v>394</v>
      </c>
      <c r="L222" s="13"/>
      <c r="M222" s="13">
        <v>3000</v>
      </c>
      <c r="N222" s="16"/>
      <c r="O222" s="17"/>
    </row>
    <row r="223" spans="1:15">
      <c r="A223" s="150">
        <v>46357</v>
      </c>
      <c r="B223" s="148" t="s">
        <v>466</v>
      </c>
      <c r="C223" s="148" t="s">
        <v>479</v>
      </c>
      <c r="D223" s="13"/>
      <c r="E223" s="13"/>
      <c r="F223" s="13"/>
      <c r="G223" s="13">
        <v>586</v>
      </c>
      <c r="H223" s="14"/>
      <c r="I223" s="149">
        <v>46360</v>
      </c>
      <c r="J223" s="12" t="s">
        <v>399</v>
      </c>
      <c r="K223" s="148" t="s">
        <v>398</v>
      </c>
      <c r="L223" s="13"/>
      <c r="M223" s="17">
        <v>800</v>
      </c>
      <c r="N223" s="16"/>
      <c r="O223" s="17"/>
    </row>
    <row r="224" spans="1:15">
      <c r="A224" s="150">
        <v>46357</v>
      </c>
      <c r="B224" s="148" t="s">
        <v>465</v>
      </c>
      <c r="C224" s="148" t="s">
        <v>480</v>
      </c>
      <c r="D224" s="13"/>
      <c r="E224" s="13"/>
      <c r="F224" s="13"/>
      <c r="G224" s="13">
        <v>524</v>
      </c>
      <c r="H224" s="14"/>
      <c r="I224" s="149">
        <v>46360</v>
      </c>
      <c r="J224" s="12" t="s">
        <v>400</v>
      </c>
      <c r="K224" s="148" t="s">
        <v>398</v>
      </c>
      <c r="L224" s="13"/>
      <c r="M224" s="17">
        <v>800</v>
      </c>
      <c r="N224" s="16"/>
      <c r="O224" s="17"/>
    </row>
    <row r="225" spans="1:15">
      <c r="A225" s="150">
        <v>46357</v>
      </c>
      <c r="B225" s="148" t="s">
        <v>464</v>
      </c>
      <c r="C225" s="148" t="s">
        <v>481</v>
      </c>
      <c r="D225" s="13"/>
      <c r="E225" s="13"/>
      <c r="F225" s="13"/>
      <c r="G225" s="13">
        <v>74</v>
      </c>
      <c r="H225" s="14"/>
      <c r="I225" s="149">
        <v>46360</v>
      </c>
      <c r="J225" s="12" t="s">
        <v>400</v>
      </c>
      <c r="K225" s="148" t="s">
        <v>398</v>
      </c>
      <c r="L225" s="13"/>
      <c r="M225" s="17">
        <v>800</v>
      </c>
      <c r="N225" s="16"/>
      <c r="O225" s="17"/>
    </row>
    <row r="226" spans="1:15">
      <c r="A226" s="150">
        <v>46358</v>
      </c>
      <c r="B226" s="148" t="s">
        <v>465</v>
      </c>
      <c r="C226" s="148" t="s">
        <v>482</v>
      </c>
      <c r="D226" s="13"/>
      <c r="E226" s="13"/>
      <c r="F226" s="13"/>
      <c r="G226" s="13">
        <v>230</v>
      </c>
      <c r="H226" s="14"/>
      <c r="I226" s="149">
        <v>46360</v>
      </c>
      <c r="J226" s="12" t="s">
        <v>401</v>
      </c>
      <c r="K226" s="148" t="s">
        <v>402</v>
      </c>
      <c r="L226" s="13"/>
      <c r="M226" s="17">
        <v>1374.67</v>
      </c>
      <c r="N226" s="16"/>
      <c r="O226" s="17"/>
    </row>
    <row r="227" spans="1:15">
      <c r="A227" s="150">
        <v>46365</v>
      </c>
      <c r="B227" s="12" t="s">
        <v>466</v>
      </c>
      <c r="C227" s="148" t="s">
        <v>483</v>
      </c>
      <c r="D227" s="13"/>
      <c r="E227" s="13"/>
      <c r="F227" s="13"/>
      <c r="G227" s="13">
        <v>508</v>
      </c>
      <c r="H227" s="14"/>
      <c r="I227" s="149">
        <v>46360</v>
      </c>
      <c r="J227" s="12" t="s">
        <v>405</v>
      </c>
      <c r="K227" s="148" t="s">
        <v>403</v>
      </c>
      <c r="L227" s="13"/>
      <c r="M227" s="13">
        <v>569.32000000000005</v>
      </c>
      <c r="N227" s="16"/>
      <c r="O227" s="17"/>
    </row>
    <row r="228" spans="1:15">
      <c r="A228" s="150">
        <v>46365</v>
      </c>
      <c r="B228" s="12" t="s">
        <v>464</v>
      </c>
      <c r="C228" s="148" t="s">
        <v>484</v>
      </c>
      <c r="D228" s="13"/>
      <c r="E228" s="13"/>
      <c r="F228" s="13"/>
      <c r="G228" s="13">
        <v>58</v>
      </c>
      <c r="H228" s="14"/>
      <c r="I228" s="149">
        <v>46360</v>
      </c>
      <c r="J228" s="12" t="s">
        <v>406</v>
      </c>
      <c r="K228" s="148" t="s">
        <v>404</v>
      </c>
      <c r="L228" s="13"/>
      <c r="M228" s="13">
        <v>750</v>
      </c>
      <c r="N228" s="16"/>
      <c r="O228" s="17"/>
    </row>
    <row r="229" spans="1:15">
      <c r="A229" s="150">
        <v>46371</v>
      </c>
      <c r="B229" s="12" t="s">
        <v>465</v>
      </c>
      <c r="C229" s="148" t="s">
        <v>485</v>
      </c>
      <c r="D229" s="13"/>
      <c r="E229" s="13"/>
      <c r="F229" s="13"/>
      <c r="G229" s="13">
        <v>200.2</v>
      </c>
      <c r="H229" s="14"/>
      <c r="I229" s="149">
        <v>46360</v>
      </c>
      <c r="J229" s="12" t="s">
        <v>407</v>
      </c>
      <c r="K229" s="148" t="s">
        <v>408</v>
      </c>
      <c r="L229" s="13"/>
      <c r="M229" s="13">
        <v>24000</v>
      </c>
      <c r="N229" s="16"/>
      <c r="O229" s="17"/>
    </row>
    <row r="230" spans="1:15">
      <c r="A230" s="150">
        <v>46371</v>
      </c>
      <c r="B230" s="12" t="s">
        <v>465</v>
      </c>
      <c r="C230" s="148" t="s">
        <v>486</v>
      </c>
      <c r="D230" s="13"/>
      <c r="E230" s="13"/>
      <c r="F230" s="13"/>
      <c r="G230" s="13">
        <v>125.2</v>
      </c>
      <c r="H230" s="14"/>
      <c r="I230" s="149">
        <v>46373</v>
      </c>
      <c r="J230" s="12" t="s">
        <v>133</v>
      </c>
      <c r="K230" s="148" t="s">
        <v>409</v>
      </c>
      <c r="L230" s="13"/>
      <c r="M230" s="13">
        <v>3586</v>
      </c>
      <c r="N230" s="16"/>
      <c r="O230" s="17"/>
    </row>
    <row r="231" spans="1:15">
      <c r="A231" s="150">
        <v>46371</v>
      </c>
      <c r="B231" s="12" t="s">
        <v>465</v>
      </c>
      <c r="C231" s="148" t="s">
        <v>487</v>
      </c>
      <c r="D231" s="13"/>
      <c r="E231" s="13"/>
      <c r="F231" s="13"/>
      <c r="G231" s="13">
        <v>314.5</v>
      </c>
      <c r="H231" s="14"/>
      <c r="I231" s="149">
        <v>46380</v>
      </c>
      <c r="J231" s="12" t="s">
        <v>412</v>
      </c>
      <c r="K231" s="148" t="s">
        <v>410</v>
      </c>
      <c r="L231" s="13"/>
      <c r="M231" s="13">
        <v>18360.84</v>
      </c>
      <c r="N231" s="16"/>
      <c r="O231" s="17"/>
    </row>
    <row r="232" spans="1:15">
      <c r="A232" s="150">
        <v>46374</v>
      </c>
      <c r="B232" s="12" t="s">
        <v>489</v>
      </c>
      <c r="C232" s="148" t="s">
        <v>488</v>
      </c>
      <c r="D232" s="13"/>
      <c r="E232" s="13"/>
      <c r="F232" s="13"/>
      <c r="G232" s="13">
        <v>150</v>
      </c>
      <c r="H232" s="14"/>
      <c r="I232" s="149">
        <v>46380</v>
      </c>
      <c r="J232" s="12" t="s">
        <v>413</v>
      </c>
      <c r="K232" s="148" t="s">
        <v>411</v>
      </c>
      <c r="L232" s="13"/>
      <c r="M232" s="13">
        <v>1653.32</v>
      </c>
      <c r="N232" s="16"/>
      <c r="O232" s="17"/>
    </row>
    <row r="233" spans="1:15">
      <c r="A233" s="150">
        <v>46374</v>
      </c>
      <c r="B233" s="12" t="s">
        <v>490</v>
      </c>
      <c r="C233" s="148" t="s">
        <v>491</v>
      </c>
      <c r="D233" s="13"/>
      <c r="E233" s="13"/>
      <c r="F233" s="13"/>
      <c r="G233" s="13">
        <v>400</v>
      </c>
      <c r="H233" s="14"/>
      <c r="I233" s="149">
        <v>46380</v>
      </c>
      <c r="J233" s="12" t="s">
        <v>415</v>
      </c>
      <c r="K233" s="148" t="s">
        <v>414</v>
      </c>
      <c r="L233" s="13"/>
      <c r="M233" s="13">
        <v>7348.08</v>
      </c>
      <c r="N233" s="16"/>
      <c r="O233" s="17"/>
    </row>
    <row r="234" spans="1:15">
      <c r="A234" s="150">
        <v>46374</v>
      </c>
      <c r="B234" s="12" t="s">
        <v>466</v>
      </c>
      <c r="C234" s="148" t="s">
        <v>492</v>
      </c>
      <c r="D234" s="13"/>
      <c r="E234" s="13"/>
      <c r="F234" s="13"/>
      <c r="G234" s="13">
        <v>228</v>
      </c>
      <c r="H234" s="14"/>
      <c r="I234" s="149">
        <v>46380</v>
      </c>
      <c r="J234" s="12" t="s">
        <v>416</v>
      </c>
      <c r="K234" s="148" t="s">
        <v>417</v>
      </c>
      <c r="L234" s="13"/>
      <c r="M234" s="13">
        <v>19028.599999999999</v>
      </c>
      <c r="N234" s="16"/>
      <c r="O234" s="17"/>
    </row>
    <row r="235" spans="1:15">
      <c r="A235" s="150">
        <v>46374</v>
      </c>
      <c r="B235" s="12" t="s">
        <v>465</v>
      </c>
      <c r="C235" s="148" t="s">
        <v>493</v>
      </c>
      <c r="D235" s="13"/>
      <c r="E235" s="13"/>
      <c r="F235" s="13"/>
      <c r="G235" s="13">
        <v>200</v>
      </c>
      <c r="H235" s="14"/>
      <c r="I235" s="149">
        <v>46380</v>
      </c>
      <c r="J235" s="12" t="s">
        <v>419</v>
      </c>
      <c r="K235" s="148" t="s">
        <v>418</v>
      </c>
      <c r="L235" s="13"/>
      <c r="M235" s="13">
        <v>4281.4399999999996</v>
      </c>
      <c r="N235" s="16"/>
      <c r="O235" s="17"/>
    </row>
    <row r="236" spans="1:15">
      <c r="A236" s="150">
        <v>46374</v>
      </c>
      <c r="B236" s="12" t="s">
        <v>496</v>
      </c>
      <c r="C236" s="148" t="s">
        <v>494</v>
      </c>
      <c r="D236" s="13"/>
      <c r="E236" s="13"/>
      <c r="F236" s="13"/>
      <c r="G236" s="13">
        <v>418</v>
      </c>
      <c r="H236" s="14"/>
      <c r="I236" s="149">
        <v>46380</v>
      </c>
      <c r="J236" s="12" t="s">
        <v>421</v>
      </c>
      <c r="K236" s="148" t="s">
        <v>420</v>
      </c>
      <c r="L236" s="13"/>
      <c r="M236" s="13">
        <v>595</v>
      </c>
      <c r="N236" s="16"/>
      <c r="O236" s="17"/>
    </row>
    <row r="237" spans="1:15">
      <c r="A237" s="150">
        <v>46378</v>
      </c>
      <c r="B237" s="12" t="s">
        <v>464</v>
      </c>
      <c r="C237" s="148" t="s">
        <v>497</v>
      </c>
      <c r="D237" s="13"/>
      <c r="E237" s="13"/>
      <c r="F237" s="13"/>
      <c r="G237" s="13">
        <v>137</v>
      </c>
      <c r="H237" s="14"/>
      <c r="I237" s="149">
        <v>46384</v>
      </c>
      <c r="J237" s="12" t="s">
        <v>88</v>
      </c>
      <c r="K237" s="148" t="s">
        <v>422</v>
      </c>
      <c r="L237" s="13"/>
      <c r="M237" s="13">
        <v>3000</v>
      </c>
      <c r="N237" s="16"/>
      <c r="O237" s="17"/>
    </row>
    <row r="238" spans="1:15">
      <c r="A238" s="150">
        <v>46378</v>
      </c>
      <c r="B238" s="12" t="s">
        <v>465</v>
      </c>
      <c r="C238" s="148" t="s">
        <v>498</v>
      </c>
      <c r="D238" s="13"/>
      <c r="E238" s="13"/>
      <c r="F238" s="13"/>
      <c r="G238" s="13">
        <v>290.5</v>
      </c>
      <c r="H238" s="14"/>
      <c r="I238" s="149"/>
      <c r="J238" s="12"/>
      <c r="K238" s="148"/>
      <c r="L238" s="13"/>
      <c r="M238" s="13"/>
      <c r="N238" s="16"/>
      <c r="O238" s="17"/>
    </row>
    <row r="239" spans="1:15">
      <c r="A239" s="150">
        <v>46380</v>
      </c>
      <c r="B239" s="12" t="s">
        <v>466</v>
      </c>
      <c r="C239" s="148" t="s">
        <v>499</v>
      </c>
      <c r="D239" s="13"/>
      <c r="E239" s="13"/>
      <c r="F239" s="13"/>
      <c r="G239" s="13">
        <v>412.5</v>
      </c>
      <c r="H239" s="14"/>
      <c r="I239" s="149"/>
      <c r="J239" s="12"/>
      <c r="K239" s="148"/>
      <c r="L239" s="13"/>
      <c r="M239" s="13"/>
      <c r="N239" s="16"/>
      <c r="O239" s="17"/>
    </row>
    <row r="240" spans="1:15">
      <c r="A240" s="150">
        <v>46387</v>
      </c>
      <c r="B240" s="12" t="s">
        <v>466</v>
      </c>
      <c r="C240" s="148" t="s">
        <v>500</v>
      </c>
      <c r="D240" s="13"/>
      <c r="E240" s="13"/>
      <c r="F240" s="13"/>
      <c r="G240" s="13">
        <v>626.20000000000005</v>
      </c>
      <c r="H240" s="14"/>
      <c r="I240" s="149"/>
      <c r="J240" s="12"/>
      <c r="K240" s="148"/>
      <c r="L240" s="13"/>
      <c r="M240" s="13"/>
      <c r="N240" s="16"/>
      <c r="O240" s="17"/>
    </row>
    <row r="241" spans="1:15">
      <c r="A241" s="150">
        <v>46378</v>
      </c>
      <c r="B241" s="12" t="s">
        <v>78</v>
      </c>
      <c r="C241" s="148"/>
      <c r="D241" s="13"/>
      <c r="E241" s="155">
        <v>1216.4000000000001</v>
      </c>
      <c r="F241" s="13"/>
      <c r="G241" s="13"/>
      <c r="H241" s="14"/>
      <c r="I241" s="149"/>
      <c r="J241" s="12"/>
      <c r="K241" s="148"/>
      <c r="L241" s="13"/>
      <c r="M241" s="13"/>
      <c r="N241" s="16"/>
      <c r="O241" s="17"/>
    </row>
    <row r="242" spans="1:15">
      <c r="A242" s="150">
        <v>46378</v>
      </c>
      <c r="B242" s="12" t="s">
        <v>78</v>
      </c>
      <c r="C242" s="148"/>
      <c r="D242" s="13"/>
      <c r="E242" s="155">
        <v>3276.2</v>
      </c>
      <c r="F242" s="13"/>
      <c r="G242" s="13"/>
      <c r="H242" s="14"/>
      <c r="I242" s="149"/>
      <c r="J242" s="12"/>
      <c r="K242" s="148"/>
      <c r="L242" s="13"/>
      <c r="M242" s="13"/>
      <c r="N242" s="16"/>
      <c r="O242" s="17"/>
    </row>
    <row r="243" spans="1:15">
      <c r="A243" s="150">
        <v>46386</v>
      </c>
      <c r="B243" s="12" t="s">
        <v>78</v>
      </c>
      <c r="C243" s="148"/>
      <c r="D243" s="13"/>
      <c r="E243" s="13">
        <v>2335</v>
      </c>
      <c r="F243" s="13"/>
      <c r="G243" s="13"/>
      <c r="H243" s="14"/>
      <c r="I243" s="149"/>
      <c r="J243" s="12"/>
      <c r="K243" s="148"/>
      <c r="L243" s="13"/>
      <c r="M243" s="13"/>
      <c r="N243" s="16"/>
      <c r="O243" s="17"/>
    </row>
    <row r="244" spans="1:15">
      <c r="A244" s="150">
        <v>46364</v>
      </c>
      <c r="B244" s="12" t="s">
        <v>78</v>
      </c>
      <c r="C244" s="148"/>
      <c r="D244" s="13"/>
      <c r="E244" s="13">
        <v>1789</v>
      </c>
      <c r="F244" s="13"/>
      <c r="G244" s="13"/>
      <c r="H244" s="14"/>
      <c r="I244" s="149"/>
      <c r="J244" s="12"/>
      <c r="K244" s="148"/>
      <c r="L244" s="13"/>
      <c r="M244" s="13"/>
      <c r="N244" s="16"/>
      <c r="O244" s="17"/>
    </row>
    <row r="245" spans="1:15">
      <c r="A245" s="150">
        <v>46366</v>
      </c>
      <c r="B245" s="12" t="s">
        <v>78</v>
      </c>
      <c r="C245" s="148"/>
      <c r="D245" s="13"/>
      <c r="E245" s="13">
        <v>750</v>
      </c>
      <c r="F245" s="13"/>
      <c r="G245" s="13"/>
      <c r="H245" s="14"/>
      <c r="I245" s="149"/>
      <c r="J245" s="12"/>
      <c r="K245" s="148"/>
      <c r="L245" s="13"/>
      <c r="M245" s="13"/>
      <c r="N245" s="16"/>
      <c r="O245" s="17"/>
    </row>
    <row r="246" spans="1:15">
      <c r="A246" s="150">
        <v>46364</v>
      </c>
      <c r="B246" s="12" t="s">
        <v>495</v>
      </c>
      <c r="C246" s="148"/>
      <c r="D246" s="13"/>
      <c r="E246" s="13">
        <v>31922.400000000001</v>
      </c>
      <c r="F246" s="13"/>
      <c r="G246" s="13"/>
      <c r="H246" s="14"/>
      <c r="I246" s="149"/>
      <c r="J246" s="12"/>
      <c r="K246" s="148"/>
      <c r="L246" s="13"/>
      <c r="M246" s="13"/>
      <c r="N246" s="16"/>
      <c r="O246" s="17"/>
    </row>
    <row r="247" spans="1:15">
      <c r="A247" s="150">
        <v>46358</v>
      </c>
      <c r="B247" s="12" t="s">
        <v>78</v>
      </c>
      <c r="C247" s="148"/>
      <c r="D247" s="13"/>
      <c r="E247" s="13">
        <v>1231</v>
      </c>
      <c r="F247" s="13"/>
      <c r="G247" s="13"/>
      <c r="H247" s="14"/>
      <c r="I247" s="149"/>
      <c r="J247" s="12"/>
      <c r="K247" s="148"/>
      <c r="L247" s="13"/>
      <c r="M247" s="13"/>
      <c r="N247" s="16"/>
      <c r="O247" s="17"/>
    </row>
    <row r="248" spans="1:15">
      <c r="A248" s="150">
        <v>46366</v>
      </c>
      <c r="B248" s="12" t="s">
        <v>507</v>
      </c>
      <c r="C248" s="148"/>
      <c r="D248" s="13"/>
      <c r="E248" s="13">
        <v>16000</v>
      </c>
      <c r="F248" s="13"/>
      <c r="G248" s="13"/>
      <c r="H248" s="14"/>
      <c r="I248" s="149"/>
      <c r="J248" s="12"/>
      <c r="K248" s="148"/>
      <c r="L248" s="13"/>
      <c r="M248" s="13"/>
      <c r="N248" s="16"/>
      <c r="O248" s="17"/>
    </row>
    <row r="249" spans="1:15">
      <c r="A249" s="150">
        <v>46366</v>
      </c>
      <c r="B249" s="12"/>
      <c r="C249" s="148"/>
      <c r="D249" s="13"/>
      <c r="E249" s="13">
        <v>9577.4500000000007</v>
      </c>
      <c r="F249" s="13"/>
      <c r="G249" s="13"/>
      <c r="H249" s="14"/>
      <c r="I249" s="149"/>
      <c r="J249" s="12"/>
      <c r="K249" s="148"/>
      <c r="L249" s="13"/>
      <c r="M249" s="13"/>
      <c r="N249" s="16"/>
      <c r="O249" s="17"/>
    </row>
    <row r="250" spans="1:15">
      <c r="A250" s="150">
        <v>46387</v>
      </c>
      <c r="B250" s="12"/>
      <c r="C250" s="148"/>
      <c r="D250" s="13"/>
      <c r="E250" s="13">
        <v>6590</v>
      </c>
      <c r="F250" s="13"/>
      <c r="G250" s="13"/>
      <c r="H250" s="14"/>
      <c r="I250" s="149"/>
      <c r="J250" s="12"/>
      <c r="K250" s="148"/>
      <c r="L250" s="13"/>
      <c r="M250" s="13"/>
      <c r="N250" s="16"/>
      <c r="O250" s="17"/>
    </row>
    <row r="251" spans="1:15">
      <c r="A251" s="150"/>
      <c r="B251" s="12"/>
      <c r="C251" s="148"/>
      <c r="D251" s="13"/>
      <c r="E251" s="13"/>
      <c r="F251" s="13"/>
      <c r="G251" s="13"/>
      <c r="H251" s="14"/>
      <c r="I251" s="149"/>
      <c r="J251" s="12"/>
      <c r="K251" s="148"/>
      <c r="L251" s="13"/>
      <c r="M251" s="13"/>
      <c r="N251" s="16"/>
      <c r="O251" s="17"/>
    </row>
    <row r="252" spans="1:15">
      <c r="A252" s="150"/>
      <c r="B252" s="12"/>
      <c r="C252" s="148"/>
      <c r="D252" s="13"/>
      <c r="E252" s="13"/>
      <c r="F252" s="13"/>
      <c r="G252" s="13"/>
      <c r="H252" s="14"/>
      <c r="I252" s="149"/>
      <c r="J252" s="12"/>
      <c r="K252" s="148"/>
      <c r="L252" s="13"/>
      <c r="M252" s="13"/>
      <c r="N252" s="16"/>
      <c r="O252" s="17"/>
    </row>
    <row r="253" spans="1:15">
      <c r="A253" s="150"/>
      <c r="B253" s="12"/>
      <c r="C253" s="148"/>
      <c r="D253" s="13"/>
      <c r="E253" s="13"/>
      <c r="F253" s="13"/>
      <c r="G253" s="13"/>
      <c r="H253" s="14"/>
      <c r="I253" s="149"/>
      <c r="J253" s="12"/>
      <c r="K253" s="148"/>
      <c r="L253" s="13"/>
      <c r="M253" s="13"/>
      <c r="N253" s="16"/>
      <c r="O253" s="17"/>
    </row>
    <row r="254" spans="1:15">
      <c r="A254" s="150"/>
      <c r="B254" s="12"/>
      <c r="C254" s="148"/>
      <c r="D254" s="13"/>
      <c r="E254" s="13"/>
      <c r="F254" s="13"/>
      <c r="G254" s="13"/>
      <c r="H254" s="14"/>
      <c r="I254" s="149"/>
      <c r="J254" s="12"/>
      <c r="K254" s="148"/>
      <c r="L254" s="13"/>
      <c r="M254" s="13"/>
      <c r="N254" s="16"/>
      <c r="O254" s="17"/>
    </row>
    <row r="255" spans="1:15">
      <c r="A255" s="150"/>
      <c r="B255" s="12"/>
      <c r="C255" s="148"/>
      <c r="D255" s="13"/>
      <c r="E255" s="13"/>
      <c r="F255" s="13"/>
      <c r="G255" s="13"/>
      <c r="H255" s="14"/>
      <c r="I255" s="149"/>
      <c r="J255" s="12"/>
      <c r="K255" s="148"/>
      <c r="L255" s="13"/>
      <c r="M255" s="13"/>
      <c r="N255" s="16"/>
      <c r="O255" s="17"/>
    </row>
    <row r="256" spans="1:15">
      <c r="A256" s="150"/>
      <c r="B256" s="12"/>
      <c r="C256" s="148"/>
      <c r="D256" s="13"/>
      <c r="E256" s="13"/>
      <c r="F256" s="13"/>
      <c r="G256" s="13"/>
      <c r="H256" s="14"/>
      <c r="I256" s="149"/>
      <c r="J256" s="12"/>
      <c r="K256" s="148"/>
      <c r="L256" s="13"/>
      <c r="M256" s="13"/>
      <c r="N256" s="16"/>
      <c r="O256" s="17"/>
    </row>
    <row r="257" spans="1:15">
      <c r="A257" s="150"/>
      <c r="B257" s="12"/>
      <c r="C257" s="148"/>
      <c r="D257" s="13"/>
      <c r="E257" s="13"/>
      <c r="F257" s="13"/>
      <c r="G257" s="13"/>
      <c r="H257" s="14"/>
      <c r="I257" s="149"/>
      <c r="J257" s="12"/>
      <c r="K257" s="148"/>
      <c r="L257" s="13"/>
      <c r="M257" s="13"/>
      <c r="N257" s="16"/>
      <c r="O257" s="17"/>
    </row>
    <row r="258" spans="1:15">
      <c r="A258" s="150"/>
      <c r="B258" s="12"/>
      <c r="C258" s="148"/>
      <c r="D258" s="13"/>
      <c r="E258" s="13"/>
      <c r="F258" s="13"/>
      <c r="G258" s="13"/>
      <c r="H258" s="14"/>
      <c r="I258" s="149"/>
      <c r="J258" s="12"/>
      <c r="K258" s="148"/>
      <c r="L258" s="13"/>
      <c r="M258" s="13"/>
      <c r="N258" s="16"/>
      <c r="O258" s="17"/>
    </row>
    <row r="259" spans="1:15">
      <c r="A259" s="150"/>
      <c r="B259" s="12"/>
      <c r="C259" s="148"/>
      <c r="D259" s="13"/>
      <c r="E259" s="13"/>
      <c r="F259" s="13"/>
      <c r="G259" s="13"/>
      <c r="H259" s="14"/>
      <c r="I259" s="149"/>
      <c r="J259" s="12"/>
      <c r="K259" s="148"/>
      <c r="L259" s="13"/>
      <c r="M259" s="13"/>
      <c r="N259" s="16"/>
      <c r="O259" s="17"/>
    </row>
    <row r="260" spans="1:15">
      <c r="A260" s="150"/>
      <c r="B260" s="12"/>
      <c r="C260" s="148"/>
      <c r="D260" s="13"/>
      <c r="E260" s="13"/>
      <c r="F260" s="13"/>
      <c r="G260" s="13"/>
      <c r="H260" s="14"/>
      <c r="I260" s="149"/>
      <c r="J260" s="12"/>
      <c r="K260" s="148"/>
      <c r="L260" s="13"/>
      <c r="M260" s="13"/>
      <c r="N260" s="16"/>
      <c r="O260" s="17"/>
    </row>
    <row r="261" spans="1:15">
      <c r="A261" s="150"/>
      <c r="B261" s="12"/>
      <c r="C261" s="148"/>
      <c r="D261" s="13"/>
      <c r="E261" s="13"/>
      <c r="F261" s="13"/>
      <c r="G261" s="13"/>
      <c r="H261" s="14"/>
      <c r="I261" s="149"/>
      <c r="J261" s="12"/>
      <c r="K261" s="148"/>
      <c r="L261" s="13"/>
      <c r="M261" s="13"/>
      <c r="N261" s="16"/>
      <c r="O261" s="17"/>
    </row>
    <row r="262" spans="1:15">
      <c r="A262" s="150"/>
      <c r="B262" s="12"/>
      <c r="C262" s="148"/>
      <c r="D262" s="13"/>
      <c r="E262" s="13"/>
      <c r="F262" s="13"/>
      <c r="G262" s="13"/>
      <c r="H262" s="14"/>
      <c r="I262" s="149"/>
      <c r="J262" s="12"/>
      <c r="K262" s="148"/>
      <c r="L262" s="13"/>
      <c r="M262" s="13"/>
      <c r="N262" s="16"/>
      <c r="O262" s="17"/>
    </row>
    <row r="263" spans="1:15">
      <c r="A263" s="150"/>
      <c r="B263" s="12"/>
      <c r="C263" s="148"/>
      <c r="D263" s="13"/>
      <c r="E263" s="13"/>
      <c r="F263" s="13"/>
      <c r="G263" s="13"/>
      <c r="H263" s="14"/>
      <c r="I263" s="149"/>
      <c r="J263" s="12"/>
      <c r="K263" s="148"/>
      <c r="L263" s="13"/>
      <c r="M263" s="13"/>
      <c r="N263" s="16"/>
      <c r="O263" s="17"/>
    </row>
    <row r="264" spans="1:15">
      <c r="A264" s="150"/>
      <c r="B264" s="12"/>
      <c r="C264" s="148"/>
      <c r="D264" s="13"/>
      <c r="E264" s="13"/>
      <c r="F264" s="13"/>
      <c r="G264" s="13"/>
      <c r="H264" s="14"/>
      <c r="I264" s="149"/>
      <c r="J264" s="12"/>
      <c r="K264" s="148"/>
      <c r="L264" s="13"/>
      <c r="M264" s="13"/>
      <c r="N264" s="16"/>
      <c r="O264" s="17"/>
    </row>
    <row r="265" spans="1:15">
      <c r="A265" s="150"/>
      <c r="B265" s="12"/>
      <c r="C265" s="148"/>
      <c r="D265" s="13"/>
      <c r="E265" s="13"/>
      <c r="F265" s="13"/>
      <c r="G265" s="13"/>
      <c r="H265" s="14"/>
      <c r="I265" s="149"/>
      <c r="J265" s="12"/>
      <c r="K265" s="148"/>
      <c r="L265" s="13"/>
      <c r="M265" s="13"/>
      <c r="N265" s="16"/>
      <c r="O265" s="17"/>
    </row>
    <row r="266" spans="1:15">
      <c r="A266" s="150"/>
      <c r="B266" s="12"/>
      <c r="C266" s="12"/>
      <c r="D266" s="13"/>
      <c r="E266" s="13"/>
      <c r="F266" s="13"/>
      <c r="G266" s="13"/>
      <c r="H266" s="14"/>
      <c r="I266" s="149"/>
      <c r="J266" s="12"/>
      <c r="K266" s="148"/>
      <c r="L266" s="13"/>
      <c r="M266" s="13"/>
      <c r="N266" s="16"/>
      <c r="O266" s="17"/>
    </row>
    <row r="267" spans="1:15">
      <c r="A267" s="150"/>
      <c r="B267" s="12"/>
      <c r="C267" s="12"/>
      <c r="D267" s="13"/>
      <c r="E267" s="13"/>
      <c r="F267" s="13"/>
      <c r="G267" s="13"/>
      <c r="H267" s="14"/>
      <c r="I267" s="149"/>
      <c r="J267" s="12"/>
      <c r="K267" s="148"/>
      <c r="L267" s="13"/>
      <c r="M267" s="13"/>
      <c r="N267" s="16"/>
      <c r="O267" s="17"/>
    </row>
    <row r="268" spans="1:15">
      <c r="A268" s="150"/>
      <c r="B268" s="12"/>
      <c r="C268" s="12"/>
      <c r="D268" s="13"/>
      <c r="E268" s="13"/>
      <c r="F268" s="13"/>
      <c r="G268" s="13"/>
      <c r="H268" s="14"/>
      <c r="I268" s="149"/>
      <c r="J268" s="12"/>
      <c r="K268" s="148"/>
      <c r="L268" s="13"/>
      <c r="M268" s="13"/>
      <c r="N268" s="16"/>
      <c r="O268" s="17"/>
    </row>
    <row r="269" spans="1:15">
      <c r="A269" s="150"/>
      <c r="B269" s="12"/>
      <c r="C269" s="12"/>
      <c r="D269" s="13"/>
      <c r="E269" s="13"/>
      <c r="F269" s="13"/>
      <c r="G269" s="13"/>
      <c r="H269" s="14"/>
      <c r="I269" s="149"/>
      <c r="J269" s="12"/>
      <c r="K269" s="12"/>
      <c r="L269" s="13"/>
      <c r="M269" s="13"/>
      <c r="N269" s="16"/>
      <c r="O269" s="17"/>
    </row>
    <row r="270" spans="1:15">
      <c r="A270" s="150"/>
      <c r="B270" s="12"/>
      <c r="C270" s="12"/>
      <c r="D270" s="13"/>
      <c r="E270" s="13"/>
      <c r="F270" s="13"/>
      <c r="G270" s="13"/>
      <c r="H270" s="14"/>
      <c r="I270" s="149"/>
      <c r="J270" s="12"/>
      <c r="K270" s="12"/>
      <c r="L270" s="13"/>
      <c r="M270" s="13"/>
      <c r="N270" s="16"/>
      <c r="O270" s="17"/>
    </row>
    <row r="271" spans="1:15">
      <c r="A271" s="150"/>
      <c r="B271" s="12"/>
      <c r="C271" s="12"/>
      <c r="D271" s="21">
        <f>SUM(D220:D270)</f>
        <v>0</v>
      </c>
      <c r="E271" s="21">
        <f>SUM(E220:E270)</f>
        <v>143649.83000000002</v>
      </c>
      <c r="F271" s="21">
        <f>SUM(F220:F270)</f>
        <v>0</v>
      </c>
      <c r="G271" s="21">
        <f>SUM(G220:G270)</f>
        <v>12828.210000000003</v>
      </c>
      <c r="H271" s="14"/>
      <c r="I271" s="12"/>
      <c r="J271" s="12"/>
      <c r="K271" s="12"/>
      <c r="L271" s="21">
        <f>SUM(L220:L270)</f>
        <v>0</v>
      </c>
      <c r="M271" s="21">
        <f t="shared" ref="M271:N271" si="16">SUM(M220:M270)</f>
        <v>93947.26999999999</v>
      </c>
      <c r="N271" s="21">
        <f t="shared" si="16"/>
        <v>0</v>
      </c>
      <c r="O271" s="22">
        <f>SUM(O220:O270)</f>
        <v>0</v>
      </c>
    </row>
    <row r="272" spans="1:15" ht="15" thickBot="1">
      <c r="A272" s="23"/>
      <c r="B272" s="24"/>
      <c r="C272" s="24"/>
      <c r="D272" s="25"/>
      <c r="E272" s="25"/>
      <c r="F272" s="25"/>
      <c r="G272" s="25">
        <f>G271-G220</f>
        <v>5482.1000000000022</v>
      </c>
      <c r="H272" s="24"/>
      <c r="I272" s="24" t="s">
        <v>13</v>
      </c>
      <c r="J272" s="24"/>
      <c r="K272" s="24"/>
      <c r="L272" s="26">
        <f>D271-L271</f>
        <v>0</v>
      </c>
      <c r="M272" s="26">
        <f>E271-M271</f>
        <v>49702.560000000027</v>
      </c>
      <c r="N272" s="26">
        <f>F271-N271</f>
        <v>0</v>
      </c>
      <c r="O272" s="27">
        <f>G271-O271</f>
        <v>12828.210000000003</v>
      </c>
    </row>
    <row r="275" spans="1:15">
      <c r="A275" t="s">
        <v>1</v>
      </c>
    </row>
    <row r="276" spans="1:15">
      <c r="A276" s="156" t="s">
        <v>2</v>
      </c>
      <c r="B276" s="157"/>
      <c r="C276" s="157"/>
      <c r="D276" s="157"/>
      <c r="E276" s="157"/>
      <c r="F276" s="157"/>
      <c r="G276" s="157"/>
      <c r="H276" s="5"/>
      <c r="I276" s="158" t="s">
        <v>3</v>
      </c>
      <c r="J276" s="157"/>
      <c r="K276" s="157"/>
      <c r="L276" s="157"/>
      <c r="M276" s="157"/>
      <c r="N276" s="157"/>
      <c r="O276" s="159"/>
    </row>
    <row r="277" spans="1:15">
      <c r="A277" s="6" t="s">
        <v>4</v>
      </c>
      <c r="B277" s="7" t="s">
        <v>5</v>
      </c>
      <c r="C277" s="7" t="s">
        <v>6</v>
      </c>
      <c r="D277" s="8" t="s">
        <v>7</v>
      </c>
      <c r="E277" s="8" t="s">
        <v>8</v>
      </c>
      <c r="F277" s="8" t="s">
        <v>9</v>
      </c>
      <c r="G277" s="8" t="s">
        <v>10</v>
      </c>
      <c r="H277" s="9"/>
      <c r="I277" s="7" t="s">
        <v>4</v>
      </c>
      <c r="J277" s="7" t="s">
        <v>5</v>
      </c>
      <c r="K277" s="7" t="s">
        <v>6</v>
      </c>
      <c r="L277" s="8" t="s">
        <v>7</v>
      </c>
      <c r="M277" s="8" t="s">
        <v>8</v>
      </c>
      <c r="N277" s="8" t="s">
        <v>9</v>
      </c>
      <c r="O277" s="10" t="s">
        <v>10</v>
      </c>
    </row>
    <row r="278" spans="1:15">
      <c r="A278" s="6"/>
      <c r="B278" s="7"/>
      <c r="C278" s="7"/>
      <c r="D278" s="8" t="s">
        <v>11</v>
      </c>
      <c r="E278" s="8" t="s">
        <v>11</v>
      </c>
      <c r="F278" s="8" t="s">
        <v>11</v>
      </c>
      <c r="G278" s="8" t="s">
        <v>11</v>
      </c>
      <c r="H278" s="9"/>
      <c r="I278" s="151"/>
      <c r="J278" s="7"/>
      <c r="K278" s="7"/>
      <c r="L278" s="8" t="s">
        <v>11</v>
      </c>
      <c r="M278" s="8" t="s">
        <v>11</v>
      </c>
      <c r="N278" s="8" t="s">
        <v>11</v>
      </c>
      <c r="O278" s="10" t="s">
        <v>11</v>
      </c>
    </row>
    <row r="279" spans="1:15">
      <c r="A279" s="150">
        <v>46023</v>
      </c>
      <c r="B279" s="12" t="s">
        <v>12</v>
      </c>
      <c r="C279" s="12"/>
      <c r="D279" s="13">
        <f>L272</f>
        <v>0</v>
      </c>
      <c r="E279" s="13">
        <f t="shared" ref="E279" si="17">M272</f>
        <v>49702.560000000027</v>
      </c>
      <c r="F279" s="13">
        <f t="shared" ref="F279" si="18">N272</f>
        <v>0</v>
      </c>
      <c r="G279" s="13">
        <f t="shared" ref="G279" si="19">O272</f>
        <v>12828.210000000003</v>
      </c>
      <c r="H279" s="14"/>
      <c r="I279" s="149">
        <v>46028</v>
      </c>
      <c r="J279" s="12" t="s">
        <v>425</v>
      </c>
      <c r="K279" s="148" t="s">
        <v>424</v>
      </c>
      <c r="L279" s="13"/>
      <c r="M279" s="13">
        <v>4493.99</v>
      </c>
      <c r="N279" s="16"/>
      <c r="O279" s="17"/>
    </row>
    <row r="280" spans="1:15">
      <c r="A280" s="150">
        <v>46047</v>
      </c>
      <c r="B280" s="12" t="s">
        <v>450</v>
      </c>
      <c r="C280" s="12"/>
      <c r="D280" s="13"/>
      <c r="E280" s="13">
        <v>500</v>
      </c>
      <c r="F280" s="13"/>
      <c r="G280" s="13"/>
      <c r="H280" s="14"/>
      <c r="I280" s="149">
        <v>46028</v>
      </c>
      <c r="J280" s="12" t="s">
        <v>429</v>
      </c>
      <c r="K280" s="148" t="s">
        <v>426</v>
      </c>
      <c r="L280" s="13"/>
      <c r="M280" s="13">
        <v>3800</v>
      </c>
      <c r="N280" s="16"/>
      <c r="O280" s="17"/>
    </row>
    <row r="281" spans="1:15">
      <c r="A281" s="150">
        <v>46023</v>
      </c>
      <c r="B281" s="12" t="s">
        <v>464</v>
      </c>
      <c r="C281" s="148" t="s">
        <v>502</v>
      </c>
      <c r="D281" s="13"/>
      <c r="E281" s="13"/>
      <c r="F281" s="13"/>
      <c r="G281" s="13">
        <v>66</v>
      </c>
      <c r="H281" s="14"/>
      <c r="I281" s="149">
        <v>46029</v>
      </c>
      <c r="J281" s="12" t="s">
        <v>430</v>
      </c>
      <c r="K281" s="148" t="s">
        <v>427</v>
      </c>
      <c r="L281" s="13"/>
      <c r="M281" s="13">
        <v>30000</v>
      </c>
      <c r="N281" s="16"/>
      <c r="O281" s="17"/>
    </row>
    <row r="282" spans="1:15">
      <c r="A282" s="150"/>
      <c r="B282" s="12"/>
      <c r="C282" s="148" t="s">
        <v>503</v>
      </c>
      <c r="D282" s="13"/>
      <c r="E282" s="13"/>
      <c r="F282" s="13"/>
      <c r="G282" s="13">
        <v>164</v>
      </c>
      <c r="H282" s="14"/>
      <c r="I282" s="149">
        <v>46029</v>
      </c>
      <c r="J282" s="12" t="s">
        <v>431</v>
      </c>
      <c r="K282" s="148" t="s">
        <v>428</v>
      </c>
      <c r="L282" s="13"/>
      <c r="M282" s="17">
        <v>2775</v>
      </c>
      <c r="N282" s="16"/>
      <c r="O282" s="17"/>
    </row>
    <row r="283" spans="1:15">
      <c r="A283" s="150">
        <v>46040</v>
      </c>
      <c r="B283" s="12" t="s">
        <v>464</v>
      </c>
      <c r="C283" s="148" t="s">
        <v>504</v>
      </c>
      <c r="D283" s="13"/>
      <c r="E283" s="13"/>
      <c r="F283" s="13"/>
      <c r="G283" s="13">
        <v>241</v>
      </c>
      <c r="H283" s="14"/>
      <c r="I283" s="149">
        <v>46029</v>
      </c>
      <c r="J283" s="12" t="s">
        <v>432</v>
      </c>
      <c r="K283" s="148" t="s">
        <v>433</v>
      </c>
      <c r="L283" s="13"/>
      <c r="M283" s="17">
        <v>2000</v>
      </c>
      <c r="N283" s="16"/>
      <c r="O283" s="17"/>
    </row>
    <row r="284" spans="1:15">
      <c r="A284" s="150">
        <v>46045</v>
      </c>
      <c r="B284" s="12" t="s">
        <v>466</v>
      </c>
      <c r="C284" s="148" t="s">
        <v>505</v>
      </c>
      <c r="D284" s="13"/>
      <c r="E284" s="13"/>
      <c r="F284" s="13"/>
      <c r="G284" s="13">
        <v>200</v>
      </c>
      <c r="H284" s="14"/>
      <c r="I284" s="149">
        <v>46035</v>
      </c>
      <c r="J284" s="12" t="s">
        <v>430</v>
      </c>
      <c r="K284" s="148" t="s">
        <v>434</v>
      </c>
      <c r="L284" s="13"/>
      <c r="M284" s="17">
        <v>20000</v>
      </c>
      <c r="N284" s="16"/>
      <c r="O284" s="17"/>
    </row>
    <row r="285" spans="1:15">
      <c r="A285" s="150">
        <v>46027</v>
      </c>
      <c r="B285" s="12" t="s">
        <v>288</v>
      </c>
      <c r="C285" s="148"/>
      <c r="D285" s="13"/>
      <c r="E285" s="13">
        <v>50000</v>
      </c>
      <c r="F285" s="13"/>
      <c r="G285" s="13"/>
      <c r="H285" s="14"/>
      <c r="I285" s="149">
        <v>46038</v>
      </c>
      <c r="J285" s="12" t="s">
        <v>431</v>
      </c>
      <c r="K285" s="148" t="s">
        <v>435</v>
      </c>
      <c r="L285" s="13"/>
      <c r="M285" s="17">
        <v>2775</v>
      </c>
      <c r="N285" s="16"/>
      <c r="O285" s="17"/>
    </row>
    <row r="286" spans="1:15">
      <c r="A286" s="150">
        <v>46045</v>
      </c>
      <c r="B286" s="12" t="s">
        <v>78</v>
      </c>
      <c r="C286" s="148"/>
      <c r="D286" s="13"/>
      <c r="E286" s="13">
        <v>2133</v>
      </c>
      <c r="F286" s="13"/>
      <c r="G286" s="13"/>
      <c r="H286" s="14"/>
      <c r="I286" s="149">
        <v>46035</v>
      </c>
      <c r="J286" s="12" t="s">
        <v>437</v>
      </c>
      <c r="K286" s="148" t="s">
        <v>436</v>
      </c>
      <c r="L286" s="13"/>
      <c r="M286" s="13">
        <v>800</v>
      </c>
      <c r="N286" s="16"/>
      <c r="O286" s="17"/>
    </row>
    <row r="287" spans="1:15">
      <c r="A287" s="150">
        <v>46045</v>
      </c>
      <c r="B287" s="12" t="s">
        <v>506</v>
      </c>
      <c r="C287" s="148"/>
      <c r="D287" s="13"/>
      <c r="E287" s="13">
        <v>6493.99</v>
      </c>
      <c r="F287" s="13"/>
      <c r="G287" s="13"/>
      <c r="H287" s="14"/>
      <c r="I287" s="149">
        <v>46035</v>
      </c>
      <c r="J287" s="12" t="s">
        <v>438</v>
      </c>
      <c r="K287" s="148" t="s">
        <v>439</v>
      </c>
      <c r="L287" s="13"/>
      <c r="M287" s="13">
        <v>600</v>
      </c>
      <c r="N287" s="16"/>
      <c r="O287" s="17"/>
    </row>
    <row r="288" spans="1:15">
      <c r="A288" s="150">
        <v>46041</v>
      </c>
      <c r="B288" s="12" t="s">
        <v>78</v>
      </c>
      <c r="C288" s="12"/>
      <c r="D288" s="13"/>
      <c r="E288" s="13">
        <v>3900</v>
      </c>
      <c r="F288" s="13"/>
      <c r="G288" s="13"/>
      <c r="H288" s="14"/>
      <c r="I288" s="149">
        <v>46035</v>
      </c>
      <c r="J288" s="12" t="s">
        <v>443</v>
      </c>
      <c r="K288" s="148" t="s">
        <v>440</v>
      </c>
      <c r="L288" s="13"/>
      <c r="M288" s="13">
        <v>7300</v>
      </c>
      <c r="N288" s="16"/>
      <c r="O288" s="17"/>
    </row>
    <row r="289" spans="1:15">
      <c r="A289" s="150">
        <v>46041</v>
      </c>
      <c r="B289" s="12" t="s">
        <v>78</v>
      </c>
      <c r="C289" s="12"/>
      <c r="D289" s="13"/>
      <c r="E289" s="13">
        <v>5000</v>
      </c>
      <c r="F289" s="13"/>
      <c r="G289" s="13"/>
      <c r="H289" s="14"/>
      <c r="I289" s="149">
        <v>46051</v>
      </c>
      <c r="J289" s="12" t="s">
        <v>425</v>
      </c>
      <c r="K289" s="148" t="s">
        <v>441</v>
      </c>
      <c r="L289" s="13"/>
      <c r="M289" s="13">
        <f>4000+1600+1374.67+603.94+715.38</f>
        <v>8293.99</v>
      </c>
      <c r="N289" s="16"/>
      <c r="O289" s="17"/>
    </row>
    <row r="290" spans="1:15">
      <c r="A290" s="150"/>
      <c r="B290" s="12"/>
      <c r="C290" s="12"/>
      <c r="D290" s="13"/>
      <c r="E290" s="13"/>
      <c r="F290" s="13"/>
      <c r="G290" s="13"/>
      <c r="H290" s="14"/>
      <c r="I290" s="149"/>
      <c r="J290" s="12"/>
      <c r="K290" s="148" t="s">
        <v>442</v>
      </c>
      <c r="L290" s="13"/>
      <c r="M290" s="13"/>
      <c r="N290" s="16"/>
      <c r="O290" s="17"/>
    </row>
    <row r="291" spans="1:15">
      <c r="A291" s="150"/>
      <c r="B291" s="12"/>
      <c r="C291" s="12"/>
      <c r="D291" s="13"/>
      <c r="E291" s="13"/>
      <c r="F291" s="13"/>
      <c r="G291" s="13"/>
      <c r="H291" s="14"/>
      <c r="I291" s="149"/>
      <c r="J291" s="12"/>
      <c r="K291" s="148"/>
      <c r="L291" s="13"/>
      <c r="M291" s="13"/>
      <c r="N291" s="16"/>
      <c r="O291" s="17"/>
    </row>
    <row r="292" spans="1:15">
      <c r="A292" s="150"/>
      <c r="B292" s="12"/>
      <c r="C292" s="12"/>
      <c r="D292" s="13"/>
      <c r="E292" s="13"/>
      <c r="F292" s="13"/>
      <c r="G292" s="13"/>
      <c r="H292" s="14"/>
      <c r="I292" s="149"/>
      <c r="J292" s="12"/>
      <c r="K292" s="148"/>
      <c r="L292" s="13"/>
      <c r="M292" s="13"/>
      <c r="N292" s="16"/>
      <c r="O292" s="17"/>
    </row>
    <row r="293" spans="1:15">
      <c r="A293" s="150"/>
      <c r="B293" s="12"/>
      <c r="C293" s="12"/>
      <c r="D293" s="13"/>
      <c r="E293" s="13"/>
      <c r="F293" s="13"/>
      <c r="G293" s="13"/>
      <c r="H293" s="14"/>
      <c r="I293" s="149"/>
      <c r="J293" s="12"/>
      <c r="K293" s="148"/>
      <c r="L293" s="13"/>
      <c r="M293" s="13"/>
      <c r="N293" s="16"/>
      <c r="O293" s="17"/>
    </row>
    <row r="294" spans="1:15">
      <c r="A294" s="150"/>
      <c r="B294" s="12"/>
      <c r="C294" s="12"/>
      <c r="D294" s="13"/>
      <c r="E294" s="13"/>
      <c r="F294" s="13"/>
      <c r="G294" s="13"/>
      <c r="H294" s="14"/>
      <c r="I294" s="149"/>
      <c r="J294" s="12"/>
      <c r="K294" s="148"/>
      <c r="L294" s="13"/>
      <c r="M294" s="13"/>
      <c r="N294" s="16"/>
      <c r="O294" s="17"/>
    </row>
    <row r="295" spans="1:15">
      <c r="A295" s="150"/>
      <c r="B295" s="12"/>
      <c r="C295" s="12"/>
      <c r="D295" s="13"/>
      <c r="E295" s="13"/>
      <c r="F295" s="13"/>
      <c r="G295" s="13"/>
      <c r="H295" s="14"/>
      <c r="I295" s="149"/>
      <c r="J295" s="12"/>
      <c r="K295" s="148"/>
      <c r="L295" s="13"/>
      <c r="M295" s="13"/>
      <c r="N295" s="16"/>
      <c r="O295" s="17"/>
    </row>
    <row r="296" spans="1:15">
      <c r="A296" s="150"/>
      <c r="B296" s="12"/>
      <c r="C296" s="12"/>
      <c r="D296" s="13"/>
      <c r="E296" s="13"/>
      <c r="F296" s="13"/>
      <c r="G296" s="13"/>
      <c r="H296" s="14"/>
      <c r="I296" s="149"/>
      <c r="J296" s="12"/>
      <c r="K296" s="148"/>
      <c r="L296" s="13"/>
      <c r="M296" s="13"/>
      <c r="N296" s="16"/>
      <c r="O296" s="17"/>
    </row>
    <row r="297" spans="1:15">
      <c r="A297" s="150"/>
      <c r="B297" s="12"/>
      <c r="C297" s="12"/>
      <c r="D297" s="13"/>
      <c r="E297" s="13"/>
      <c r="F297" s="13"/>
      <c r="G297" s="13"/>
      <c r="H297" s="14"/>
      <c r="I297" s="149"/>
      <c r="J297" s="12"/>
      <c r="K297" s="148"/>
      <c r="L297" s="13"/>
      <c r="M297" s="13"/>
      <c r="N297" s="16"/>
      <c r="O297" s="17"/>
    </row>
    <row r="298" spans="1:15">
      <c r="A298" s="150"/>
      <c r="B298" s="12"/>
      <c r="C298" s="12"/>
      <c r="D298" s="13"/>
      <c r="E298" s="13"/>
      <c r="F298" s="13"/>
      <c r="G298" s="13"/>
      <c r="H298" s="14"/>
      <c r="I298" s="149"/>
      <c r="J298" s="12"/>
      <c r="K298" s="148" t="s">
        <v>423</v>
      </c>
      <c r="L298" s="13"/>
      <c r="M298" s="13"/>
      <c r="N298" s="16"/>
      <c r="O298" s="17"/>
    </row>
    <row r="299" spans="1:15">
      <c r="A299" s="150"/>
      <c r="B299" s="12"/>
      <c r="C299" s="12"/>
      <c r="D299" s="13"/>
      <c r="E299" s="13"/>
      <c r="F299" s="13"/>
      <c r="G299" s="13"/>
      <c r="H299" s="14"/>
      <c r="I299" s="149"/>
      <c r="J299" s="12"/>
      <c r="K299" s="148" t="s">
        <v>424</v>
      </c>
      <c r="L299" s="13"/>
      <c r="M299" s="13"/>
      <c r="N299" s="16"/>
      <c r="O299" s="17"/>
    </row>
    <row r="300" spans="1:15">
      <c r="A300" s="150"/>
      <c r="B300" s="12"/>
      <c r="C300" s="12"/>
      <c r="D300" s="13"/>
      <c r="E300" s="13"/>
      <c r="F300" s="13"/>
      <c r="G300" s="13"/>
      <c r="H300" s="14"/>
      <c r="I300" s="149"/>
      <c r="J300" s="12"/>
      <c r="K300" s="12"/>
      <c r="L300" s="13"/>
      <c r="M300" s="13"/>
      <c r="N300" s="16"/>
      <c r="O300" s="17"/>
    </row>
    <row r="301" spans="1:15">
      <c r="A301" s="150"/>
      <c r="B301" s="12"/>
      <c r="C301" s="12"/>
      <c r="D301" s="13"/>
      <c r="E301" s="13"/>
      <c r="F301" s="13"/>
      <c r="G301" s="13"/>
      <c r="H301" s="14"/>
      <c r="I301" s="149"/>
      <c r="J301" s="12"/>
      <c r="K301" s="12"/>
      <c r="L301" s="13"/>
      <c r="M301" s="13"/>
      <c r="N301" s="16"/>
      <c r="O301" s="17"/>
    </row>
    <row r="302" spans="1:15">
      <c r="A302" s="150"/>
      <c r="B302" s="12"/>
      <c r="C302" s="12"/>
      <c r="D302" s="21">
        <f>SUM(D279:D301)</f>
        <v>0</v>
      </c>
      <c r="E302" s="21">
        <f>SUM(E279:E301)</f>
        <v>117729.55000000003</v>
      </c>
      <c r="F302" s="21">
        <f>SUM(F279:F301)</f>
        <v>0</v>
      </c>
      <c r="G302" s="21">
        <f>SUM(G279:G301)</f>
        <v>13499.210000000003</v>
      </c>
      <c r="H302" s="14"/>
      <c r="I302" s="12"/>
      <c r="J302" s="12"/>
      <c r="K302" s="12"/>
      <c r="L302" s="21">
        <f>SUM(L279:L301)</f>
        <v>0</v>
      </c>
      <c r="M302" s="21">
        <f t="shared" ref="M302:N302" si="20">SUM(M279:M301)</f>
        <v>82837.98</v>
      </c>
      <c r="N302" s="21">
        <f t="shared" si="20"/>
        <v>0</v>
      </c>
      <c r="O302" s="22">
        <f>SUM(O279:O301)</f>
        <v>0</v>
      </c>
    </row>
    <row r="303" spans="1:15" ht="15" thickBot="1">
      <c r="A303" s="23"/>
      <c r="B303" s="24"/>
      <c r="C303" s="24"/>
      <c r="D303" s="25"/>
      <c r="E303" s="25"/>
      <c r="F303" s="25"/>
      <c r="G303" s="25">
        <f>G302-G279</f>
        <v>671</v>
      </c>
      <c r="H303" s="24"/>
      <c r="I303" s="24" t="s">
        <v>13</v>
      </c>
      <c r="J303" s="24"/>
      <c r="K303" s="24"/>
      <c r="L303" s="26">
        <f>D302-L302</f>
        <v>0</v>
      </c>
      <c r="M303" s="26">
        <f>E302-M302</f>
        <v>34891.570000000036</v>
      </c>
      <c r="N303" s="26">
        <f>F302-N302</f>
        <v>0</v>
      </c>
      <c r="O303" s="27">
        <f>G302-O302</f>
        <v>13499.210000000003</v>
      </c>
    </row>
  </sheetData>
  <mergeCells count="27">
    <mergeCell ref="A1:O1"/>
    <mergeCell ref="A3:G3"/>
    <mergeCell ref="I3:O3"/>
    <mergeCell ref="A15:G15"/>
    <mergeCell ref="I15:O15"/>
    <mergeCell ref="A27:G27"/>
    <mergeCell ref="I27:O27"/>
    <mergeCell ref="A149:G149"/>
    <mergeCell ref="I149:O149"/>
    <mergeCell ref="A46:G46"/>
    <mergeCell ref="I46:O46"/>
    <mergeCell ref="A60:G60"/>
    <mergeCell ref="I60:O60"/>
    <mergeCell ref="A75:G75"/>
    <mergeCell ref="I75:O75"/>
    <mergeCell ref="A132:G132"/>
    <mergeCell ref="I132:O132"/>
    <mergeCell ref="A111:G111"/>
    <mergeCell ref="I111:O111"/>
    <mergeCell ref="A93:G93"/>
    <mergeCell ref="I93:O93"/>
    <mergeCell ref="A276:G276"/>
    <mergeCell ref="I276:O276"/>
    <mergeCell ref="A217:G217"/>
    <mergeCell ref="I217:O217"/>
    <mergeCell ref="A173:G173"/>
    <mergeCell ref="I173:O173"/>
  </mergeCells>
  <phoneticPr fontId="15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opLeftCell="A16" zoomScaleNormal="100" workbookViewId="0">
      <selection activeCell="G23" sqref="F23:G23"/>
    </sheetView>
  </sheetViews>
  <sheetFormatPr defaultColWidth="8.88671875" defaultRowHeight="15.6"/>
  <cols>
    <col min="1" max="1" width="53.33203125" style="38" customWidth="1"/>
    <col min="2" max="2" width="13.88671875" style="39" customWidth="1"/>
    <col min="3" max="3" width="20.6640625" style="38" customWidth="1"/>
    <col min="4" max="16384" width="8.88671875" style="38"/>
  </cols>
  <sheetData>
    <row r="1" spans="1:3" ht="12.75" customHeight="1">
      <c r="A1" s="170" t="s">
        <v>31</v>
      </c>
      <c r="B1" s="171"/>
      <c r="C1" s="172"/>
    </row>
    <row r="2" spans="1:3" ht="12.75" customHeight="1">
      <c r="A2" s="163" t="s">
        <v>32</v>
      </c>
      <c r="B2" s="164"/>
      <c r="C2" s="165"/>
    </row>
    <row r="3" spans="1:3" ht="12.75" customHeight="1">
      <c r="A3" s="163" t="s">
        <v>33</v>
      </c>
      <c r="B3" s="164"/>
      <c r="C3" s="165"/>
    </row>
    <row r="4" spans="1:3" ht="6.75" customHeight="1">
      <c r="A4" s="40"/>
      <c r="B4" s="41"/>
      <c r="C4" s="42"/>
    </row>
    <row r="5" spans="1:3" ht="12.75" customHeight="1">
      <c r="A5" s="163" t="s">
        <v>61</v>
      </c>
      <c r="B5" s="164"/>
      <c r="C5" s="165"/>
    </row>
    <row r="6" spans="1:3" ht="12.75" customHeight="1">
      <c r="A6" s="163" t="s">
        <v>34</v>
      </c>
      <c r="B6" s="164"/>
      <c r="C6" s="165"/>
    </row>
    <row r="7" spans="1:3" ht="5.25" customHeight="1">
      <c r="A7" s="40"/>
      <c r="B7" s="41"/>
      <c r="C7" s="42"/>
    </row>
    <row r="8" spans="1:3" ht="12.75" customHeight="1">
      <c r="A8" s="40"/>
      <c r="B8" s="43" t="s">
        <v>56</v>
      </c>
      <c r="C8" s="44" t="s">
        <v>57</v>
      </c>
    </row>
    <row r="9" spans="1:3" ht="12.75" customHeight="1">
      <c r="A9" s="40"/>
      <c r="B9" s="41"/>
      <c r="C9" s="45" t="s">
        <v>39</v>
      </c>
    </row>
    <row r="10" spans="1:3" ht="12.75" customHeight="1">
      <c r="A10" s="46" t="s">
        <v>35</v>
      </c>
      <c r="B10" s="41">
        <v>1</v>
      </c>
      <c r="C10" s="47">
        <f>TB!I9+TB!I10+TB!I11+TB!I12</f>
        <v>4310.3999999999996</v>
      </c>
    </row>
    <row r="11" spans="1:3" ht="12.75" customHeight="1">
      <c r="A11" s="40"/>
      <c r="B11" s="41"/>
      <c r="C11" s="42"/>
    </row>
    <row r="12" spans="1:3" ht="12.75" customHeight="1">
      <c r="A12" s="46" t="s">
        <v>48</v>
      </c>
      <c r="B12" s="41">
        <v>2</v>
      </c>
      <c r="C12" s="48">
        <f>-TB!H15-TB!H16-TB!H17</f>
        <v>-1600</v>
      </c>
    </row>
    <row r="13" spans="1:3" ht="12.75" customHeight="1">
      <c r="A13" s="40"/>
      <c r="B13" s="41"/>
      <c r="C13" s="49"/>
    </row>
    <row r="14" spans="1:3" ht="12.75" customHeight="1" thickBot="1">
      <c r="A14" s="50" t="s">
        <v>58</v>
      </c>
      <c r="B14" s="51"/>
      <c r="C14" s="52">
        <f>SUM(C10:C13)</f>
        <v>2710.3999999999996</v>
      </c>
    </row>
    <row r="15" spans="1:3" ht="12.75" customHeight="1">
      <c r="A15" s="40"/>
      <c r="B15" s="41"/>
      <c r="C15" s="42"/>
    </row>
    <row r="16" spans="1:3" ht="12.75" customHeight="1" thickBot="1">
      <c r="A16" s="40"/>
      <c r="B16" s="41"/>
      <c r="C16" s="42"/>
    </row>
    <row r="17" spans="1:3" ht="12.75" customHeight="1">
      <c r="A17" s="170" t="s">
        <v>59</v>
      </c>
      <c r="B17" s="171"/>
      <c r="C17" s="172"/>
    </row>
    <row r="18" spans="1:3" ht="12.75" customHeight="1">
      <c r="A18" s="163" t="s">
        <v>60</v>
      </c>
      <c r="B18" s="164"/>
      <c r="C18" s="165"/>
    </row>
    <row r="19" spans="1:3" ht="12.75" customHeight="1">
      <c r="A19" s="46" t="s">
        <v>62</v>
      </c>
      <c r="B19" s="41"/>
      <c r="C19" s="42"/>
    </row>
    <row r="20" spans="1:3" ht="12.75" customHeight="1">
      <c r="A20" s="40"/>
      <c r="B20" s="41"/>
      <c r="C20" s="42"/>
    </row>
    <row r="21" spans="1:3" ht="12.75" customHeight="1">
      <c r="A21" s="46" t="s">
        <v>63</v>
      </c>
      <c r="B21" s="41"/>
      <c r="C21" s="42"/>
    </row>
    <row r="22" spans="1:3" ht="12.75" customHeight="1">
      <c r="A22" s="40" t="s">
        <v>10</v>
      </c>
      <c r="B22" s="41"/>
      <c r="C22" s="47">
        <f>TB!H19</f>
        <v>4022.4</v>
      </c>
    </row>
    <row r="23" spans="1:3" ht="12.75" customHeight="1" thickBot="1">
      <c r="A23" s="40"/>
      <c r="B23" s="41"/>
      <c r="C23" s="53">
        <f>SUM(C22)</f>
        <v>4022.4</v>
      </c>
    </row>
    <row r="24" spans="1:3" ht="12.75" customHeight="1" thickTop="1">
      <c r="A24" s="40"/>
      <c r="B24" s="41"/>
      <c r="C24" s="42"/>
    </row>
    <row r="25" spans="1:3" ht="12.75" customHeight="1">
      <c r="A25" s="46" t="s">
        <v>64</v>
      </c>
      <c r="B25" s="41"/>
      <c r="C25" s="42"/>
    </row>
    <row r="26" spans="1:3" ht="12.75" customHeight="1">
      <c r="A26" s="40" t="s">
        <v>53</v>
      </c>
      <c r="B26" s="41"/>
      <c r="C26" s="48">
        <f>TB!I21</f>
        <v>1312</v>
      </c>
    </row>
    <row r="27" spans="1:3" ht="12.75" customHeight="1">
      <c r="A27" s="40" t="s">
        <v>65</v>
      </c>
      <c r="B27" s="41"/>
      <c r="C27" s="47">
        <f>C14</f>
        <v>2710.3999999999996</v>
      </c>
    </row>
    <row r="28" spans="1:3" ht="12.75" customHeight="1" thickBot="1">
      <c r="A28" s="54"/>
      <c r="B28" s="51"/>
      <c r="C28" s="52">
        <f>SUM(C26:C27)</f>
        <v>4022.3999999999996</v>
      </c>
    </row>
    <row r="29" spans="1:3" ht="12.75" customHeight="1" thickBot="1">
      <c r="A29" s="40"/>
      <c r="B29" s="41"/>
      <c r="C29" s="42"/>
    </row>
    <row r="30" spans="1:3" ht="12.75" customHeight="1">
      <c r="A30" s="166" t="s">
        <v>56</v>
      </c>
      <c r="B30" s="167"/>
      <c r="C30" s="168"/>
    </row>
    <row r="31" spans="1:3" ht="12.75" customHeight="1">
      <c r="A31" s="46" t="s">
        <v>44</v>
      </c>
      <c r="B31" s="41">
        <v>1</v>
      </c>
      <c r="C31" s="42"/>
    </row>
    <row r="32" spans="1:3" ht="12.75" customHeight="1">
      <c r="A32" s="40" t="s">
        <v>45</v>
      </c>
      <c r="B32" s="55">
        <v>1974</v>
      </c>
      <c r="C32" s="42"/>
    </row>
    <row r="33" spans="1:3" ht="12.75" customHeight="1">
      <c r="A33" s="40" t="s">
        <v>46</v>
      </c>
      <c r="B33" s="55">
        <v>147.4</v>
      </c>
      <c r="C33" s="42"/>
    </row>
    <row r="34" spans="1:3" ht="12.75" customHeight="1">
      <c r="A34" s="40" t="s">
        <v>25</v>
      </c>
      <c r="B34" s="55">
        <v>1405</v>
      </c>
      <c r="C34" s="42"/>
    </row>
    <row r="35" spans="1:3" ht="12.75" customHeight="1">
      <c r="A35" s="40" t="s">
        <v>66</v>
      </c>
      <c r="B35" s="55">
        <v>784</v>
      </c>
      <c r="C35" s="42"/>
    </row>
    <row r="36" spans="1:3" ht="12.75" customHeight="1">
      <c r="A36" s="40"/>
      <c r="B36" s="56">
        <f>SUM(B31:B35)</f>
        <v>4311.3999999999996</v>
      </c>
      <c r="C36" s="42"/>
    </row>
    <row r="37" spans="1:3" ht="12.75" customHeight="1">
      <c r="A37" s="40"/>
      <c r="B37" s="41"/>
      <c r="C37" s="42"/>
    </row>
    <row r="38" spans="1:3" ht="12.75" customHeight="1">
      <c r="A38" s="46" t="s">
        <v>48</v>
      </c>
      <c r="B38" s="41">
        <v>2</v>
      </c>
      <c r="C38" s="42"/>
    </row>
    <row r="39" spans="1:3" ht="12.75" customHeight="1">
      <c r="A39" s="40" t="s">
        <v>67</v>
      </c>
      <c r="B39" s="55">
        <f>500</f>
        <v>500</v>
      </c>
      <c r="C39" s="42"/>
    </row>
    <row r="40" spans="1:3" ht="12.75" customHeight="1">
      <c r="A40" s="40" t="s">
        <v>69</v>
      </c>
      <c r="B40" s="55">
        <v>100</v>
      </c>
      <c r="C40" s="42"/>
    </row>
    <row r="41" spans="1:3" ht="12.75" customHeight="1">
      <c r="A41" s="40" t="s">
        <v>68</v>
      </c>
      <c r="B41" s="55">
        <v>1000</v>
      </c>
      <c r="C41" s="42"/>
    </row>
    <row r="42" spans="1:3" ht="12.75" customHeight="1" thickBot="1">
      <c r="A42" s="54"/>
      <c r="B42" s="57">
        <f>SUM(B39:B41)</f>
        <v>1600</v>
      </c>
      <c r="C42" s="58"/>
    </row>
    <row r="43" spans="1:3" ht="12.75" customHeight="1">
      <c r="A43" s="59"/>
      <c r="B43" s="60"/>
      <c r="C43" s="59"/>
    </row>
    <row r="44" spans="1:3" ht="12.75" customHeight="1">
      <c r="A44" s="59" t="s">
        <v>70</v>
      </c>
      <c r="B44" s="169" t="s">
        <v>71</v>
      </c>
      <c r="C44" s="169"/>
    </row>
    <row r="45" spans="1:3" ht="12.75" customHeight="1">
      <c r="A45" s="61" t="s">
        <v>72</v>
      </c>
      <c r="B45" s="62" t="s">
        <v>73</v>
      </c>
      <c r="C45" s="61"/>
    </row>
    <row r="46" spans="1:3" ht="12.75" customHeight="1">
      <c r="A46" s="61" t="s">
        <v>74</v>
      </c>
      <c r="B46" s="62" t="s">
        <v>75</v>
      </c>
      <c r="C46" s="61"/>
    </row>
    <row r="47" spans="1:3" ht="9" customHeight="1">
      <c r="A47" s="63"/>
      <c r="B47" s="64"/>
      <c r="C47" s="63"/>
    </row>
  </sheetData>
  <mergeCells count="9">
    <mergeCell ref="A18:C18"/>
    <mergeCell ref="A30:C30"/>
    <mergeCell ref="B44:C44"/>
    <mergeCell ref="A1:C1"/>
    <mergeCell ref="A2:C2"/>
    <mergeCell ref="A3:C3"/>
    <mergeCell ref="A5:C5"/>
    <mergeCell ref="A6:C6"/>
    <mergeCell ref="A17:C17"/>
  </mergeCells>
  <pageMargins left="0.7" right="0.7" top="0.75" bottom="0.75" header="0.3" footer="0.3"/>
  <pageSetup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topLeftCell="A8" workbookViewId="0">
      <selection activeCell="E12" sqref="E12"/>
    </sheetView>
  </sheetViews>
  <sheetFormatPr defaultRowHeight="14.4"/>
  <cols>
    <col min="1" max="1" width="27.6640625" customWidth="1"/>
    <col min="2" max="9" width="13.6640625" style="34" customWidth="1"/>
  </cols>
  <sheetData>
    <row r="1" spans="1:9">
      <c r="A1" s="174" t="s">
        <v>31</v>
      </c>
      <c r="B1" s="174"/>
      <c r="C1" s="174"/>
      <c r="D1" s="174"/>
      <c r="E1" s="174"/>
      <c r="F1" s="174"/>
      <c r="G1" s="174"/>
      <c r="H1" s="174"/>
      <c r="I1" s="174"/>
    </row>
    <row r="2" spans="1:9">
      <c r="A2" s="174" t="s">
        <v>32</v>
      </c>
      <c r="B2" s="174"/>
      <c r="C2" s="174"/>
      <c r="D2" s="174"/>
      <c r="E2" s="174"/>
      <c r="F2" s="174"/>
      <c r="G2" s="174"/>
      <c r="H2" s="174"/>
      <c r="I2" s="174"/>
    </row>
    <row r="3" spans="1:9">
      <c r="A3" s="174" t="s">
        <v>33</v>
      </c>
      <c r="B3" s="174"/>
      <c r="C3" s="174"/>
      <c r="D3" s="174"/>
      <c r="E3" s="174"/>
      <c r="F3" s="174"/>
      <c r="G3" s="174"/>
      <c r="H3" s="174"/>
      <c r="I3" s="174"/>
    </row>
    <row r="4" spans="1:9">
      <c r="A4" s="174" t="s">
        <v>36</v>
      </c>
      <c r="B4" s="174"/>
      <c r="C4" s="174"/>
      <c r="D4" s="174"/>
      <c r="E4" s="174"/>
      <c r="F4" s="174"/>
      <c r="G4" s="174"/>
      <c r="H4" s="174"/>
      <c r="I4" s="174"/>
    </row>
    <row r="5" spans="1:9">
      <c r="A5" s="175" t="s">
        <v>5</v>
      </c>
      <c r="B5" s="173" t="s">
        <v>40</v>
      </c>
      <c r="C5" s="173"/>
      <c r="D5" s="173" t="s">
        <v>41</v>
      </c>
      <c r="E5" s="173"/>
      <c r="F5" s="173" t="s">
        <v>42</v>
      </c>
      <c r="G5" s="173"/>
      <c r="H5" s="173" t="s">
        <v>13</v>
      </c>
      <c r="I5" s="173"/>
    </row>
    <row r="6" spans="1:9">
      <c r="A6" s="175"/>
      <c r="B6" s="8" t="s">
        <v>37</v>
      </c>
      <c r="C6" s="8" t="s">
        <v>38</v>
      </c>
      <c r="D6" s="8" t="s">
        <v>37</v>
      </c>
      <c r="E6" s="8" t="s">
        <v>38</v>
      </c>
      <c r="F6" s="8" t="s">
        <v>37</v>
      </c>
      <c r="G6" s="8" t="s">
        <v>38</v>
      </c>
      <c r="H6" s="8" t="s">
        <v>37</v>
      </c>
      <c r="I6" s="8" t="s">
        <v>38</v>
      </c>
    </row>
    <row r="7" spans="1:9">
      <c r="A7" s="37"/>
      <c r="B7" s="8" t="s">
        <v>39</v>
      </c>
      <c r="C7" s="8" t="s">
        <v>39</v>
      </c>
      <c r="D7" s="8" t="s">
        <v>39</v>
      </c>
      <c r="E7" s="8" t="s">
        <v>39</v>
      </c>
      <c r="F7" s="8" t="s">
        <v>39</v>
      </c>
      <c r="G7" s="8" t="s">
        <v>39</v>
      </c>
      <c r="H7" s="8" t="s">
        <v>39</v>
      </c>
      <c r="I7" s="8" t="s">
        <v>39</v>
      </c>
    </row>
    <row r="8" spans="1:9">
      <c r="A8" s="12" t="s">
        <v>44</v>
      </c>
      <c r="B8" s="13"/>
      <c r="C8" s="13"/>
      <c r="D8" s="13"/>
      <c r="E8" s="13"/>
      <c r="F8" s="13"/>
      <c r="G8" s="13"/>
      <c r="H8" s="13">
        <f>B8-C8+D8-E8+F8-G8</f>
        <v>0</v>
      </c>
      <c r="I8" s="13">
        <f>C8-B8+E8-D8+G8-F8</f>
        <v>0</v>
      </c>
    </row>
    <row r="9" spans="1:9">
      <c r="A9" s="12" t="s">
        <v>45</v>
      </c>
      <c r="B9" s="13"/>
      <c r="C9" s="13"/>
      <c r="D9" s="13"/>
      <c r="E9" s="13">
        <v>1974</v>
      </c>
      <c r="F9" s="13"/>
      <c r="G9" s="13"/>
      <c r="H9" s="13"/>
      <c r="I9" s="13">
        <f t="shared" ref="I9:I25" si="0">C9-B9+E9-D9+G9-F9</f>
        <v>1974</v>
      </c>
    </row>
    <row r="10" spans="1:9">
      <c r="A10" s="12" t="s">
        <v>46</v>
      </c>
      <c r="B10" s="13"/>
      <c r="C10" s="13"/>
      <c r="D10" s="13"/>
      <c r="E10" s="13">
        <v>147.4</v>
      </c>
      <c r="F10" s="13"/>
      <c r="G10" s="13"/>
      <c r="H10" s="13"/>
      <c r="I10" s="13">
        <f t="shared" si="0"/>
        <v>147.4</v>
      </c>
    </row>
    <row r="11" spans="1:9">
      <c r="A11" s="12" t="s">
        <v>25</v>
      </c>
      <c r="B11" s="13"/>
      <c r="C11" s="13"/>
      <c r="D11" s="13"/>
      <c r="E11" s="13">
        <v>1405</v>
      </c>
      <c r="F11" s="13"/>
      <c r="G11" s="13"/>
      <c r="H11" s="13"/>
      <c r="I11" s="13">
        <f t="shared" si="0"/>
        <v>1405</v>
      </c>
    </row>
    <row r="12" spans="1:9">
      <c r="A12" s="12" t="s">
        <v>47</v>
      </c>
      <c r="B12" s="13"/>
      <c r="C12" s="13"/>
      <c r="D12" s="13"/>
      <c r="E12" s="13">
        <v>784</v>
      </c>
      <c r="F12" s="13"/>
      <c r="G12" s="13"/>
      <c r="H12" s="13"/>
      <c r="I12" s="13">
        <f t="shared" si="0"/>
        <v>784</v>
      </c>
    </row>
    <row r="13" spans="1:9">
      <c r="A13" s="12"/>
      <c r="B13" s="13"/>
      <c r="C13" s="13"/>
      <c r="D13" s="13"/>
      <c r="E13" s="13"/>
      <c r="F13" s="13"/>
      <c r="G13" s="13"/>
      <c r="H13" s="13">
        <f t="shared" ref="H13:H25" si="1">B13-C13+D13-E13+F13-G13</f>
        <v>0</v>
      </c>
      <c r="I13" s="13">
        <f t="shared" si="0"/>
        <v>0</v>
      </c>
    </row>
    <row r="14" spans="1:9">
      <c r="A14" s="12" t="s">
        <v>48</v>
      </c>
      <c r="B14" s="13"/>
      <c r="C14" s="13"/>
      <c r="D14" s="13"/>
      <c r="E14" s="13"/>
      <c r="F14" s="13"/>
      <c r="G14" s="13"/>
      <c r="H14" s="13">
        <f t="shared" si="1"/>
        <v>0</v>
      </c>
      <c r="I14" s="13">
        <f t="shared" si="0"/>
        <v>0</v>
      </c>
    </row>
    <row r="15" spans="1:9">
      <c r="A15" s="12" t="s">
        <v>49</v>
      </c>
      <c r="B15" s="13"/>
      <c r="C15" s="13"/>
      <c r="D15" s="13">
        <v>500</v>
      </c>
      <c r="E15" s="13"/>
      <c r="F15" s="13"/>
      <c r="G15" s="13"/>
      <c r="H15" s="13">
        <f t="shared" si="1"/>
        <v>500</v>
      </c>
      <c r="I15" s="13"/>
    </row>
    <row r="16" spans="1:9">
      <c r="A16" s="12" t="s">
        <v>50</v>
      </c>
      <c r="B16" s="13"/>
      <c r="C16" s="13"/>
      <c r="D16" s="13">
        <v>100</v>
      </c>
      <c r="E16" s="13"/>
      <c r="F16" s="13"/>
      <c r="G16" s="13"/>
      <c r="H16" s="13">
        <f t="shared" si="1"/>
        <v>100</v>
      </c>
      <c r="I16" s="13"/>
    </row>
    <row r="17" spans="1:9">
      <c r="A17" s="12" t="s">
        <v>51</v>
      </c>
      <c r="B17" s="13"/>
      <c r="C17" s="13"/>
      <c r="D17" s="13">
        <v>1000</v>
      </c>
      <c r="E17" s="13"/>
      <c r="F17" s="13"/>
      <c r="G17" s="13"/>
      <c r="H17" s="13">
        <f t="shared" si="1"/>
        <v>1000</v>
      </c>
      <c r="I17" s="13"/>
    </row>
    <row r="18" spans="1:9">
      <c r="A18" s="12"/>
      <c r="B18" s="13"/>
      <c r="C18" s="13"/>
      <c r="D18" s="13"/>
      <c r="E18" s="13"/>
      <c r="F18" s="13"/>
      <c r="G18" s="13"/>
      <c r="H18" s="13">
        <f t="shared" si="1"/>
        <v>0</v>
      </c>
      <c r="I18" s="13">
        <f t="shared" si="0"/>
        <v>0</v>
      </c>
    </row>
    <row r="19" spans="1:9">
      <c r="A19" s="12" t="s">
        <v>10</v>
      </c>
      <c r="B19" s="13">
        <v>1312</v>
      </c>
      <c r="C19" s="13"/>
      <c r="D19" s="13">
        <f>2210.4+500</f>
        <v>2710.4</v>
      </c>
      <c r="E19" s="13"/>
      <c r="F19" s="13"/>
      <c r="G19" s="13"/>
      <c r="H19" s="13">
        <f t="shared" si="1"/>
        <v>4022.4</v>
      </c>
      <c r="I19" s="13"/>
    </row>
    <row r="20" spans="1:9">
      <c r="A20" s="12" t="s">
        <v>52</v>
      </c>
      <c r="B20" s="13"/>
      <c r="C20" s="13"/>
      <c r="D20" s="13"/>
      <c r="E20" s="13"/>
      <c r="F20" s="13"/>
      <c r="G20" s="13"/>
      <c r="H20" s="13">
        <f t="shared" si="1"/>
        <v>0</v>
      </c>
      <c r="I20" s="13">
        <f t="shared" si="0"/>
        <v>0</v>
      </c>
    </row>
    <row r="21" spans="1:9">
      <c r="A21" s="12" t="s">
        <v>53</v>
      </c>
      <c r="B21" s="13"/>
      <c r="C21" s="13">
        <v>1312</v>
      </c>
      <c r="D21" s="13"/>
      <c r="E21" s="13"/>
      <c r="F21" s="13"/>
      <c r="G21" s="13"/>
      <c r="H21" s="13"/>
      <c r="I21" s="13">
        <f t="shared" si="0"/>
        <v>1312</v>
      </c>
    </row>
    <row r="22" spans="1:9">
      <c r="A22" s="12" t="s">
        <v>54</v>
      </c>
      <c r="B22" s="13"/>
      <c r="C22" s="13"/>
      <c r="D22" s="13"/>
      <c r="E22" s="13"/>
      <c r="F22" s="13"/>
      <c r="G22" s="13"/>
      <c r="H22" s="13">
        <f t="shared" si="1"/>
        <v>0</v>
      </c>
      <c r="I22" s="13">
        <f t="shared" si="0"/>
        <v>0</v>
      </c>
    </row>
    <row r="23" spans="1:9">
      <c r="A23" s="12" t="s">
        <v>55</v>
      </c>
      <c r="B23" s="13"/>
      <c r="C23" s="13"/>
      <c r="D23" s="13"/>
      <c r="E23" s="13"/>
      <c r="F23" s="13"/>
      <c r="G23" s="13"/>
      <c r="H23" s="13">
        <f t="shared" si="1"/>
        <v>0</v>
      </c>
      <c r="I23" s="13">
        <f t="shared" si="0"/>
        <v>0</v>
      </c>
    </row>
    <row r="24" spans="1:9">
      <c r="A24" s="12"/>
      <c r="B24" s="13"/>
      <c r="C24" s="13"/>
      <c r="D24" s="13"/>
      <c r="E24" s="13"/>
      <c r="F24" s="13"/>
      <c r="G24" s="13"/>
      <c r="H24" s="13">
        <f t="shared" si="1"/>
        <v>0</v>
      </c>
      <c r="I24" s="13">
        <f t="shared" si="0"/>
        <v>0</v>
      </c>
    </row>
    <row r="25" spans="1:9">
      <c r="A25" s="12"/>
      <c r="B25" s="13"/>
      <c r="C25" s="13"/>
      <c r="D25" s="13"/>
      <c r="E25" s="13"/>
      <c r="F25" s="13"/>
      <c r="G25" s="13"/>
      <c r="H25" s="13">
        <f t="shared" si="1"/>
        <v>0</v>
      </c>
      <c r="I25" s="13">
        <f t="shared" si="0"/>
        <v>0</v>
      </c>
    </row>
    <row r="26" spans="1:9">
      <c r="A26" s="12" t="s">
        <v>43</v>
      </c>
      <c r="B26" s="21">
        <f t="shared" ref="B26:G26" si="2">SUM(B8:B25)</f>
        <v>1312</v>
      </c>
      <c r="C26" s="21">
        <f t="shared" si="2"/>
        <v>1312</v>
      </c>
      <c r="D26" s="21">
        <f t="shared" si="2"/>
        <v>4310.3999999999996</v>
      </c>
      <c r="E26" s="21">
        <f t="shared" si="2"/>
        <v>4310.3999999999996</v>
      </c>
      <c r="F26" s="21">
        <f t="shared" si="2"/>
        <v>0</v>
      </c>
      <c r="G26" s="21">
        <f t="shared" si="2"/>
        <v>0</v>
      </c>
      <c r="H26" s="21">
        <f>SUM(H8:H25)</f>
        <v>5622.4</v>
      </c>
      <c r="I26" s="21">
        <f>SUM(I8:I25)</f>
        <v>5622.4</v>
      </c>
    </row>
    <row r="27" spans="1:9">
      <c r="E27" s="34">
        <f>E26-D26</f>
        <v>0</v>
      </c>
    </row>
  </sheetData>
  <mergeCells count="9">
    <mergeCell ref="B5:C5"/>
    <mergeCell ref="D5:E5"/>
    <mergeCell ref="F5:G5"/>
    <mergeCell ref="H5:I5"/>
    <mergeCell ref="A1:I1"/>
    <mergeCell ref="A2:I2"/>
    <mergeCell ref="A3:I3"/>
    <mergeCell ref="A4:I4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C5AB-347B-4EC9-BD49-D939783ABD1D}">
  <dimension ref="A1:G9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96" sqref="C96"/>
    </sheetView>
  </sheetViews>
  <sheetFormatPr defaultRowHeight="14.4"/>
  <cols>
    <col min="2" max="2" width="23.33203125" customWidth="1"/>
    <col min="3" max="3" width="10.21875" customWidth="1"/>
    <col min="4" max="5" width="16.109375" style="34" customWidth="1"/>
    <col min="6" max="6" width="12.44140625" style="34" customWidth="1"/>
  </cols>
  <sheetData>
    <row r="1" spans="1:6">
      <c r="A1" t="s">
        <v>116</v>
      </c>
    </row>
    <row r="2" spans="1:6">
      <c r="A2" t="s">
        <v>31</v>
      </c>
    </row>
    <row r="3" spans="1:6">
      <c r="A3" t="s">
        <v>117</v>
      </c>
    </row>
    <row r="5" spans="1:6">
      <c r="A5" s="67" t="s">
        <v>4</v>
      </c>
      <c r="B5" s="67" t="s">
        <v>5</v>
      </c>
      <c r="C5" s="67"/>
      <c r="D5" s="68" t="s">
        <v>132</v>
      </c>
      <c r="E5" s="68" t="s">
        <v>52</v>
      </c>
    </row>
    <row r="6" spans="1:6">
      <c r="A6" s="33">
        <v>46045</v>
      </c>
      <c r="B6" t="s">
        <v>118</v>
      </c>
      <c r="C6" t="s">
        <v>122</v>
      </c>
      <c r="E6" s="34">
        <v>2133</v>
      </c>
      <c r="F6" s="34" t="s">
        <v>124</v>
      </c>
    </row>
    <row r="7" spans="1:6">
      <c r="A7" s="33">
        <v>46045</v>
      </c>
      <c r="B7" t="s">
        <v>118</v>
      </c>
      <c r="C7" t="s">
        <v>122</v>
      </c>
      <c r="E7" s="34">
        <v>6493.99</v>
      </c>
      <c r="F7" s="34" t="s">
        <v>124</v>
      </c>
    </row>
    <row r="8" spans="1:6">
      <c r="A8" s="33">
        <v>46036</v>
      </c>
      <c r="B8" t="s">
        <v>120</v>
      </c>
      <c r="C8" t="s">
        <v>121</v>
      </c>
      <c r="D8" s="34">
        <v>2000</v>
      </c>
      <c r="F8" s="34" t="s">
        <v>124</v>
      </c>
    </row>
    <row r="9" spans="1:6">
      <c r="A9" s="33">
        <v>46041</v>
      </c>
      <c r="B9" t="s">
        <v>118</v>
      </c>
      <c r="E9" s="34">
        <v>3900</v>
      </c>
      <c r="F9" s="34" t="s">
        <v>124</v>
      </c>
    </row>
    <row r="10" spans="1:6">
      <c r="A10" s="33">
        <v>46041</v>
      </c>
      <c r="B10" t="s">
        <v>118</v>
      </c>
      <c r="E10" s="34">
        <v>5000</v>
      </c>
      <c r="F10" s="34" t="s">
        <v>124</v>
      </c>
    </row>
    <row r="11" spans="1:6">
      <c r="A11" s="33">
        <v>46027</v>
      </c>
      <c r="B11" t="s">
        <v>123</v>
      </c>
      <c r="E11" s="34">
        <v>50000</v>
      </c>
      <c r="F11" s="34" t="s">
        <v>125</v>
      </c>
    </row>
    <row r="12" spans="1:6">
      <c r="A12" s="33">
        <v>46378</v>
      </c>
      <c r="B12" t="s">
        <v>118</v>
      </c>
      <c r="E12" s="34">
        <v>1216.4000000000001</v>
      </c>
      <c r="F12" s="34" t="s">
        <v>126</v>
      </c>
    </row>
    <row r="13" spans="1:6">
      <c r="A13" s="33">
        <v>46378</v>
      </c>
      <c r="B13" t="s">
        <v>118</v>
      </c>
      <c r="E13" s="34">
        <v>3276.2</v>
      </c>
      <c r="F13" s="34" t="s">
        <v>126</v>
      </c>
    </row>
    <row r="14" spans="1:6">
      <c r="A14" s="33">
        <v>46297</v>
      </c>
      <c r="B14" t="s">
        <v>118</v>
      </c>
      <c r="E14" s="34">
        <v>1380</v>
      </c>
      <c r="F14" s="34" t="s">
        <v>126</v>
      </c>
    </row>
    <row r="15" spans="1:6">
      <c r="A15" s="33">
        <v>46350</v>
      </c>
      <c r="B15" t="s">
        <v>118</v>
      </c>
      <c r="E15" s="34">
        <v>8293</v>
      </c>
      <c r="F15" s="34" t="s">
        <v>126</v>
      </c>
    </row>
    <row r="16" spans="1:6">
      <c r="A16" s="33">
        <v>46386</v>
      </c>
      <c r="B16" t="s">
        <v>118</v>
      </c>
      <c r="E16" s="34">
        <v>2335</v>
      </c>
      <c r="F16" s="34" t="s">
        <v>124</v>
      </c>
    </row>
    <row r="17" spans="1:6">
      <c r="A17" s="33">
        <v>46332</v>
      </c>
      <c r="B17" t="s">
        <v>118</v>
      </c>
      <c r="E17" s="34">
        <v>14493.99</v>
      </c>
      <c r="F17" s="34" t="s">
        <v>124</v>
      </c>
    </row>
    <row r="18" spans="1:6">
      <c r="A18" s="33">
        <v>46364</v>
      </c>
      <c r="B18" t="s">
        <v>118</v>
      </c>
      <c r="E18" s="34">
        <v>1789</v>
      </c>
      <c r="F18" s="34" t="s">
        <v>124</v>
      </c>
    </row>
    <row r="19" spans="1:6">
      <c r="A19" s="33">
        <v>46366</v>
      </c>
      <c r="B19" t="s">
        <v>118</v>
      </c>
      <c r="E19" s="34">
        <v>750</v>
      </c>
      <c r="F19" s="34" t="s">
        <v>124</v>
      </c>
    </row>
    <row r="20" spans="1:6">
      <c r="A20" s="33">
        <v>46364</v>
      </c>
      <c r="B20" t="s">
        <v>118</v>
      </c>
      <c r="E20" s="34">
        <v>31922.400000000001</v>
      </c>
      <c r="F20" s="34" t="s">
        <v>124</v>
      </c>
    </row>
    <row r="21" spans="1:6">
      <c r="A21" s="33">
        <v>46365</v>
      </c>
      <c r="B21" t="s">
        <v>127</v>
      </c>
      <c r="D21" s="34">
        <v>2400</v>
      </c>
      <c r="E21" s="34">
        <v>2400</v>
      </c>
      <c r="F21" s="34" t="s">
        <v>124</v>
      </c>
    </row>
    <row r="22" spans="1:6">
      <c r="A22" s="33">
        <v>46365</v>
      </c>
      <c r="B22" t="s">
        <v>128</v>
      </c>
      <c r="D22" s="34">
        <v>1374</v>
      </c>
    </row>
    <row r="23" spans="1:6">
      <c r="A23" s="33">
        <v>46364</v>
      </c>
      <c r="B23" t="s">
        <v>129</v>
      </c>
      <c r="D23" s="34">
        <v>569.32000000000005</v>
      </c>
    </row>
    <row r="24" spans="1:6">
      <c r="A24" s="33">
        <v>46364</v>
      </c>
      <c r="B24" t="s">
        <v>130</v>
      </c>
      <c r="D24" s="34">
        <v>7000</v>
      </c>
    </row>
    <row r="25" spans="1:6">
      <c r="A25" s="33">
        <v>46372</v>
      </c>
      <c r="B25" t="s">
        <v>131</v>
      </c>
      <c r="D25" s="34">
        <v>24000</v>
      </c>
    </row>
    <row r="26" spans="1:6">
      <c r="A26" s="33">
        <v>46373</v>
      </c>
      <c r="B26" t="s">
        <v>118</v>
      </c>
      <c r="E26" s="34">
        <v>6544.35</v>
      </c>
    </row>
    <row r="27" spans="1:6">
      <c r="A27" s="33">
        <v>46350</v>
      </c>
      <c r="B27" t="s">
        <v>118</v>
      </c>
      <c r="E27" s="34">
        <v>68155.179999999993</v>
      </c>
    </row>
    <row r="28" spans="1:6">
      <c r="A28" s="33">
        <v>46340</v>
      </c>
      <c r="B28" t="s">
        <v>128</v>
      </c>
      <c r="D28" s="34">
        <v>1374.67</v>
      </c>
    </row>
    <row r="29" spans="1:6">
      <c r="A29" s="33">
        <v>46308</v>
      </c>
      <c r="B29" t="s">
        <v>118</v>
      </c>
      <c r="E29" s="34">
        <v>8823.84</v>
      </c>
    </row>
    <row r="30" spans="1:6">
      <c r="A30" s="33">
        <v>46358</v>
      </c>
      <c r="B30" t="s">
        <v>118</v>
      </c>
      <c r="E30" s="34">
        <v>1231</v>
      </c>
    </row>
    <row r="31" spans="1:6">
      <c r="A31" s="33">
        <v>46308</v>
      </c>
      <c r="B31" t="s">
        <v>118</v>
      </c>
      <c r="E31" s="34">
        <v>3264.3</v>
      </c>
    </row>
    <row r="32" spans="1:6">
      <c r="A32" s="33">
        <v>46336</v>
      </c>
      <c r="B32" t="s">
        <v>118</v>
      </c>
      <c r="E32" s="34">
        <v>1800</v>
      </c>
    </row>
    <row r="33" spans="1:7">
      <c r="A33" s="33">
        <v>46346</v>
      </c>
      <c r="B33" t="s">
        <v>118</v>
      </c>
      <c r="E33" s="34">
        <v>4904</v>
      </c>
    </row>
    <row r="34" spans="1:7">
      <c r="A34" s="33">
        <v>46366</v>
      </c>
      <c r="B34" t="s">
        <v>118</v>
      </c>
      <c r="E34" s="34">
        <v>16000</v>
      </c>
    </row>
    <row r="35" spans="1:7">
      <c r="A35" s="33">
        <v>46366</v>
      </c>
      <c r="B35" t="s">
        <v>118</v>
      </c>
      <c r="E35" s="34">
        <v>9577.4500000000007</v>
      </c>
    </row>
    <row r="36" spans="1:7">
      <c r="A36" s="33">
        <v>46387</v>
      </c>
      <c r="B36" t="s">
        <v>118</v>
      </c>
      <c r="E36" s="34">
        <v>6590.03</v>
      </c>
    </row>
    <row r="37" spans="1:7">
      <c r="A37" s="33">
        <v>46375</v>
      </c>
      <c r="B37" t="s">
        <v>133</v>
      </c>
      <c r="D37" s="34">
        <v>3586</v>
      </c>
      <c r="F37" s="34" t="s">
        <v>144</v>
      </c>
    </row>
    <row r="38" spans="1:7">
      <c r="A38" s="33">
        <v>46376</v>
      </c>
      <c r="B38" t="s">
        <v>134</v>
      </c>
      <c r="D38" s="34">
        <v>2406</v>
      </c>
      <c r="F38" s="34" t="s">
        <v>144</v>
      </c>
    </row>
    <row r="39" spans="1:7">
      <c r="A39" s="33">
        <v>46378</v>
      </c>
      <c r="B39" t="s">
        <v>135</v>
      </c>
      <c r="C39" t="s">
        <v>136</v>
      </c>
      <c r="F39" s="34">
        <v>2532</v>
      </c>
      <c r="G39" t="s">
        <v>142</v>
      </c>
    </row>
    <row r="40" spans="1:7">
      <c r="C40" t="s">
        <v>137</v>
      </c>
      <c r="F40" s="34">
        <v>1080</v>
      </c>
    </row>
    <row r="41" spans="1:7">
      <c r="C41" t="s">
        <v>138</v>
      </c>
      <c r="F41" s="34">
        <v>250</v>
      </c>
    </row>
    <row r="42" spans="1:7">
      <c r="C42" t="s">
        <v>139</v>
      </c>
      <c r="F42" s="34">
        <v>1250</v>
      </c>
    </row>
    <row r="43" spans="1:7">
      <c r="F43" s="69">
        <f>SUM(F39:F42)</f>
        <v>5112</v>
      </c>
    </row>
    <row r="45" spans="1:7">
      <c r="A45" s="33">
        <v>46029</v>
      </c>
      <c r="B45" t="s">
        <v>119</v>
      </c>
      <c r="C45" t="s">
        <v>119</v>
      </c>
      <c r="F45" s="34">
        <v>1000</v>
      </c>
    </row>
    <row r="46" spans="1:7">
      <c r="B46" t="s">
        <v>119</v>
      </c>
      <c r="C46" t="s">
        <v>119</v>
      </c>
      <c r="F46" s="34">
        <v>1000</v>
      </c>
    </row>
    <row r="47" spans="1:7">
      <c r="B47" t="s">
        <v>140</v>
      </c>
      <c r="C47" t="s">
        <v>140</v>
      </c>
      <c r="F47" s="34">
        <v>30000</v>
      </c>
    </row>
    <row r="48" spans="1:7">
      <c r="B48" t="s">
        <v>141</v>
      </c>
      <c r="C48" t="s">
        <v>141</v>
      </c>
      <c r="F48" s="34">
        <v>2775</v>
      </c>
    </row>
    <row r="49" spans="1:6">
      <c r="F49" s="69">
        <f>SUM(F45:F48)</f>
        <v>34775</v>
      </c>
    </row>
    <row r="50" spans="1:6">
      <c r="A50" s="33">
        <v>46383</v>
      </c>
      <c r="B50" t="s">
        <v>143</v>
      </c>
      <c r="F50" s="34">
        <v>500</v>
      </c>
    </row>
    <row r="51" spans="1:6">
      <c r="A51" s="33">
        <v>46027</v>
      </c>
      <c r="B51" t="s">
        <v>145</v>
      </c>
      <c r="D51" s="34">
        <v>7017</v>
      </c>
    </row>
    <row r="52" spans="1:6">
      <c r="B52" t="s">
        <v>146</v>
      </c>
      <c r="C52">
        <v>3488</v>
      </c>
    </row>
    <row r="53" spans="1:6">
      <c r="B53" t="s">
        <v>147</v>
      </c>
      <c r="C53">
        <v>2081</v>
      </c>
    </row>
    <row r="54" spans="1:6">
      <c r="B54" t="s">
        <v>148</v>
      </c>
      <c r="C54">
        <v>646</v>
      </c>
    </row>
    <row r="55" spans="1:6">
      <c r="B55" t="s">
        <v>149</v>
      </c>
      <c r="C55">
        <v>304</v>
      </c>
    </row>
    <row r="56" spans="1:6">
      <c r="B56" t="s">
        <v>150</v>
      </c>
      <c r="C56">
        <v>261</v>
      </c>
    </row>
    <row r="57" spans="1:6">
      <c r="B57" t="s">
        <v>151</v>
      </c>
      <c r="C57">
        <v>134</v>
      </c>
    </row>
    <row r="58" spans="1:6">
      <c r="B58" t="s">
        <v>152</v>
      </c>
      <c r="C58">
        <v>103</v>
      </c>
    </row>
    <row r="59" spans="1:6">
      <c r="A59" s="33">
        <v>46038</v>
      </c>
      <c r="B59" t="s">
        <v>153</v>
      </c>
      <c r="D59" s="34">
        <v>800</v>
      </c>
    </row>
    <row r="60" spans="1:6">
      <c r="B60" t="s">
        <v>154</v>
      </c>
      <c r="D60" s="34">
        <v>600</v>
      </c>
    </row>
    <row r="61" spans="1:6">
      <c r="A61" s="33">
        <v>46349</v>
      </c>
      <c r="B61" t="s">
        <v>155</v>
      </c>
      <c r="C61" t="s">
        <v>157</v>
      </c>
      <c r="D61" s="34">
        <v>19844.8</v>
      </c>
    </row>
    <row r="62" spans="1:6">
      <c r="B62" t="s">
        <v>156</v>
      </c>
      <c r="D62" s="34">
        <v>4465.08</v>
      </c>
    </row>
    <row r="63" spans="1:6">
      <c r="A63" s="33">
        <v>46349</v>
      </c>
      <c r="B63" t="s">
        <v>155</v>
      </c>
      <c r="C63" t="s">
        <v>158</v>
      </c>
      <c r="D63" s="34">
        <v>19321.04</v>
      </c>
    </row>
    <row r="64" spans="1:6">
      <c r="B64" t="s">
        <v>156</v>
      </c>
      <c r="D64" s="34">
        <v>4347.2299999999996</v>
      </c>
    </row>
    <row r="65" spans="1:5">
      <c r="A65" s="33">
        <v>46027</v>
      </c>
      <c r="B65" t="s">
        <v>118</v>
      </c>
      <c r="E65" s="34">
        <v>17244</v>
      </c>
    </row>
    <row r="67" spans="1:5">
      <c r="A67" s="33">
        <v>46379</v>
      </c>
      <c r="B67" t="s">
        <v>159</v>
      </c>
      <c r="C67" s="34">
        <v>1000</v>
      </c>
    </row>
    <row r="68" spans="1:5">
      <c r="B68" t="s">
        <v>154</v>
      </c>
      <c r="C68" s="34">
        <v>800</v>
      </c>
    </row>
    <row r="69" spans="1:5">
      <c r="B69" t="s">
        <v>160</v>
      </c>
      <c r="C69" s="34">
        <v>1374.67</v>
      </c>
    </row>
    <row r="70" spans="1:5">
      <c r="B70" t="s">
        <v>161</v>
      </c>
      <c r="C70" s="34">
        <v>586.64</v>
      </c>
    </row>
    <row r="71" spans="1:5">
      <c r="B71" t="s">
        <v>161</v>
      </c>
      <c r="C71" s="34">
        <v>732.68</v>
      </c>
    </row>
    <row r="72" spans="1:5">
      <c r="C72" s="28">
        <f>SUM(C67:C71)</f>
        <v>4493.99</v>
      </c>
    </row>
    <row r="73" spans="1:5">
      <c r="A73" s="33">
        <v>46331</v>
      </c>
      <c r="B73" t="s">
        <v>162</v>
      </c>
      <c r="D73" s="34">
        <v>700</v>
      </c>
    </row>
    <row r="74" spans="1:5">
      <c r="A74" s="33">
        <v>46385</v>
      </c>
      <c r="B74" t="s">
        <v>153</v>
      </c>
      <c r="C74" s="28">
        <v>3000</v>
      </c>
    </row>
    <row r="75" spans="1:5">
      <c r="B75" t="s">
        <v>154</v>
      </c>
      <c r="C75" s="28">
        <v>800</v>
      </c>
    </row>
    <row r="76" spans="1:5">
      <c r="B76" t="s">
        <v>163</v>
      </c>
      <c r="C76" s="28">
        <v>16000</v>
      </c>
    </row>
    <row r="77" spans="1:5">
      <c r="C77" s="28">
        <f>SUM(C74:C76)</f>
        <v>19800</v>
      </c>
    </row>
    <row r="79" spans="1:5">
      <c r="A79" s="33">
        <v>46381</v>
      </c>
      <c r="B79" t="s">
        <v>153</v>
      </c>
      <c r="C79" s="34">
        <v>1000</v>
      </c>
    </row>
    <row r="80" spans="1:5">
      <c r="B80" t="s">
        <v>154</v>
      </c>
      <c r="C80" s="34">
        <v>800</v>
      </c>
    </row>
    <row r="81" spans="1:4">
      <c r="B81" t="s">
        <v>160</v>
      </c>
      <c r="C81" s="34">
        <v>1374.67</v>
      </c>
    </row>
    <row r="82" spans="1:4">
      <c r="B82" t="s">
        <v>161</v>
      </c>
      <c r="C82" s="34">
        <v>586.64</v>
      </c>
    </row>
    <row r="83" spans="1:4">
      <c r="B83" t="s">
        <v>164</v>
      </c>
      <c r="C83" s="34">
        <v>732.68</v>
      </c>
    </row>
    <row r="84" spans="1:4">
      <c r="B84" t="s">
        <v>165</v>
      </c>
      <c r="C84" s="34">
        <v>300</v>
      </c>
    </row>
    <row r="85" spans="1:4">
      <c r="B85" t="s">
        <v>166</v>
      </c>
      <c r="C85" s="34">
        <v>295</v>
      </c>
    </row>
    <row r="87" spans="1:4">
      <c r="A87" s="33">
        <v>46366</v>
      </c>
      <c r="B87" t="s">
        <v>155</v>
      </c>
      <c r="D87" s="34">
        <v>19844.8</v>
      </c>
    </row>
    <row r="89" spans="1:4">
      <c r="B89" t="s">
        <v>146</v>
      </c>
      <c r="C89">
        <v>2645.26</v>
      </c>
      <c r="D89" s="34">
        <v>4465.08</v>
      </c>
    </row>
    <row r="90" spans="1:4">
      <c r="B90" t="s">
        <v>148</v>
      </c>
      <c r="C90">
        <v>238.82</v>
      </c>
    </row>
    <row r="91" spans="1:4">
      <c r="B91" t="s">
        <v>150</v>
      </c>
      <c r="C91">
        <v>244.17</v>
      </c>
    </row>
    <row r="92" spans="1:4">
      <c r="B92" t="s">
        <v>151</v>
      </c>
      <c r="C92">
        <v>41.04</v>
      </c>
    </row>
    <row r="93" spans="1:4">
      <c r="B93" t="s">
        <v>152</v>
      </c>
      <c r="C93">
        <v>32.58</v>
      </c>
    </row>
    <row r="94" spans="1:4">
      <c r="B94" t="s">
        <v>149</v>
      </c>
      <c r="C94">
        <v>75.69</v>
      </c>
    </row>
    <row r="95" spans="1:4">
      <c r="B95" t="s">
        <v>167</v>
      </c>
      <c r="C95">
        <v>1187.52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E7A3-35D2-43F6-B09E-A7538DF3BD79}">
  <dimension ref="A1:C26"/>
  <sheetViews>
    <sheetView topLeftCell="A6" workbookViewId="0">
      <selection activeCell="A11" sqref="A11:B19"/>
    </sheetView>
  </sheetViews>
  <sheetFormatPr defaultRowHeight="14.4"/>
  <cols>
    <col min="2" max="2" width="58" customWidth="1"/>
    <col min="3" max="3" width="19.88671875" customWidth="1"/>
  </cols>
  <sheetData>
    <row r="1" spans="1:3" ht="18">
      <c r="A1" s="182" t="s">
        <v>116</v>
      </c>
      <c r="B1" s="183"/>
      <c r="C1" s="184"/>
    </row>
    <row r="2" spans="1:3" ht="18">
      <c r="A2" s="185" t="s">
        <v>117</v>
      </c>
      <c r="B2" s="186"/>
      <c r="C2" s="187"/>
    </row>
    <row r="3" spans="1:3">
      <c r="A3" s="74"/>
      <c r="B3" s="75"/>
      <c r="C3" s="76"/>
    </row>
    <row r="4" spans="1:3" ht="15.6">
      <c r="A4" s="77" t="s">
        <v>169</v>
      </c>
      <c r="B4" s="75"/>
      <c r="C4" s="76"/>
    </row>
    <row r="5" spans="1:3" ht="15.6">
      <c r="A5" s="78"/>
      <c r="B5" s="75"/>
      <c r="C5" s="76"/>
    </row>
    <row r="6" spans="1:3" ht="25.8" customHeight="1">
      <c r="A6" s="79" t="s">
        <v>175</v>
      </c>
      <c r="B6" s="75"/>
      <c r="C6" s="80" t="s">
        <v>171</v>
      </c>
    </row>
    <row r="7" spans="1:3" ht="15.6">
      <c r="A7" s="78"/>
      <c r="B7" s="75"/>
      <c r="C7" s="76"/>
    </row>
    <row r="8" spans="1:3" ht="23.4" customHeight="1">
      <c r="A8" s="79" t="s">
        <v>176</v>
      </c>
      <c r="B8" s="75"/>
      <c r="C8" s="76"/>
    </row>
    <row r="9" spans="1:3" ht="15" thickBot="1">
      <c r="A9" s="74"/>
      <c r="B9" s="75"/>
      <c r="C9" s="76"/>
    </row>
    <row r="10" spans="1:3" ht="29.4" customHeight="1" thickBot="1">
      <c r="A10" s="191" t="s">
        <v>170</v>
      </c>
      <c r="B10" s="192"/>
      <c r="C10" s="73" t="s">
        <v>39</v>
      </c>
    </row>
    <row r="11" spans="1:3" ht="28.8" customHeight="1">
      <c r="A11" s="176"/>
      <c r="B11" s="177"/>
      <c r="C11" s="188"/>
    </row>
    <row r="12" spans="1:3" ht="28.8" customHeight="1">
      <c r="A12" s="178"/>
      <c r="B12" s="179"/>
      <c r="C12" s="189"/>
    </row>
    <row r="13" spans="1:3" ht="28.8" customHeight="1">
      <c r="A13" s="178"/>
      <c r="B13" s="179"/>
      <c r="C13" s="189"/>
    </row>
    <row r="14" spans="1:3" ht="28.8" customHeight="1">
      <c r="A14" s="178"/>
      <c r="B14" s="179"/>
      <c r="C14" s="189"/>
    </row>
    <row r="15" spans="1:3" ht="28.8" customHeight="1">
      <c r="A15" s="178"/>
      <c r="B15" s="179"/>
      <c r="C15" s="189"/>
    </row>
    <row r="16" spans="1:3" ht="28.8" customHeight="1">
      <c r="A16" s="178"/>
      <c r="B16" s="179"/>
      <c r="C16" s="189"/>
    </row>
    <row r="17" spans="1:3" ht="28.8" customHeight="1">
      <c r="A17" s="178"/>
      <c r="B17" s="179"/>
      <c r="C17" s="189"/>
    </row>
    <row r="18" spans="1:3" ht="28.8" customHeight="1">
      <c r="A18" s="178"/>
      <c r="B18" s="179"/>
      <c r="C18" s="189"/>
    </row>
    <row r="19" spans="1:3" ht="28.8" customHeight="1" thickBot="1">
      <c r="A19" s="180"/>
      <c r="B19" s="181"/>
      <c r="C19" s="190"/>
    </row>
    <row r="20" spans="1:3" ht="24" customHeight="1">
      <c r="A20" s="193" t="s">
        <v>172</v>
      </c>
      <c r="B20" s="194"/>
      <c r="C20" s="188"/>
    </row>
    <row r="21" spans="1:3" ht="24" customHeight="1">
      <c r="A21" s="195"/>
      <c r="B21" s="196"/>
      <c r="C21" s="189"/>
    </row>
    <row r="22" spans="1:3" ht="24" customHeight="1" thickBot="1">
      <c r="A22" s="197"/>
      <c r="B22" s="198"/>
      <c r="C22" s="190"/>
    </row>
    <row r="23" spans="1:3">
      <c r="B23" s="71"/>
      <c r="C23" s="67"/>
    </row>
    <row r="24" spans="1:3">
      <c r="B24" s="71"/>
      <c r="C24" s="67"/>
    </row>
    <row r="25" spans="1:3" ht="36.6" customHeight="1">
      <c r="A25" t="s">
        <v>173</v>
      </c>
    </row>
    <row r="26" spans="1:3">
      <c r="A26" s="70" t="s">
        <v>174</v>
      </c>
    </row>
  </sheetData>
  <mergeCells count="7">
    <mergeCell ref="A11:B19"/>
    <mergeCell ref="A1:C1"/>
    <mergeCell ref="A2:C2"/>
    <mergeCell ref="C11:C19"/>
    <mergeCell ref="C20:C22"/>
    <mergeCell ref="A10:B10"/>
    <mergeCell ref="A20:B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7866-34E9-4318-8E6C-024580AADB0A}">
  <dimension ref="A1:M38"/>
  <sheetViews>
    <sheetView workbookViewId="0">
      <selection sqref="A1:M4"/>
    </sheetView>
  </sheetViews>
  <sheetFormatPr defaultRowHeight="14.4"/>
  <cols>
    <col min="2" max="2" width="12.33203125" customWidth="1"/>
    <col min="3" max="3" width="20.33203125" customWidth="1"/>
    <col min="4" max="4" width="11" customWidth="1"/>
    <col min="5" max="13" width="16.6640625" customWidth="1"/>
  </cols>
  <sheetData>
    <row r="1" spans="1:13" ht="18">
      <c r="A1" s="199" t="s">
        <v>116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pans="1:13" ht="18">
      <c r="A2" s="199" t="s">
        <v>117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</row>
    <row r="4" spans="1:13" ht="15.6">
      <c r="A4" s="99" t="s">
        <v>177</v>
      </c>
    </row>
    <row r="5" spans="1:13" ht="15" thickBot="1">
      <c r="A5" s="96">
        <v>46023</v>
      </c>
    </row>
    <row r="6" spans="1:13" ht="29.4" thickBot="1">
      <c r="A6" s="88" t="s">
        <v>4</v>
      </c>
      <c r="B6" s="89" t="s">
        <v>178</v>
      </c>
      <c r="C6" s="89" t="s">
        <v>179</v>
      </c>
      <c r="D6" s="89" t="s">
        <v>180</v>
      </c>
      <c r="E6" s="89" t="s">
        <v>43</v>
      </c>
      <c r="F6" s="89" t="s">
        <v>181</v>
      </c>
      <c r="G6" s="89" t="s">
        <v>50</v>
      </c>
      <c r="H6" s="89" t="s">
        <v>182</v>
      </c>
      <c r="I6" s="89" t="s">
        <v>183</v>
      </c>
      <c r="J6" s="89" t="s">
        <v>184</v>
      </c>
      <c r="K6" s="89" t="s">
        <v>185</v>
      </c>
      <c r="L6" s="89" t="s">
        <v>193</v>
      </c>
      <c r="M6" s="90" t="s">
        <v>186</v>
      </c>
    </row>
    <row r="7" spans="1:13">
      <c r="A7" s="91"/>
      <c r="B7" s="97" t="s">
        <v>39</v>
      </c>
      <c r="C7" s="87"/>
      <c r="D7" s="87"/>
      <c r="E7" s="97" t="s">
        <v>39</v>
      </c>
      <c r="F7" s="97" t="s">
        <v>39</v>
      </c>
      <c r="G7" s="97" t="s">
        <v>39</v>
      </c>
      <c r="H7" s="97" t="s">
        <v>39</v>
      </c>
      <c r="I7" s="97" t="s">
        <v>39</v>
      </c>
      <c r="J7" s="97" t="s">
        <v>39</v>
      </c>
      <c r="K7" s="97" t="s">
        <v>39</v>
      </c>
      <c r="L7" s="97" t="s">
        <v>39</v>
      </c>
      <c r="M7" s="98" t="s">
        <v>39</v>
      </c>
    </row>
    <row r="8" spans="1:13" ht="24.6" customHeight="1">
      <c r="A8" s="2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92"/>
    </row>
    <row r="9" spans="1:13" ht="24.6" customHeight="1">
      <c r="A9" s="20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92"/>
    </row>
    <row r="10" spans="1:13" ht="24.6" customHeight="1">
      <c r="A10" s="2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92"/>
    </row>
    <row r="11" spans="1:13" ht="24.6" customHeight="1">
      <c r="A11" s="2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92"/>
    </row>
    <row r="12" spans="1:13" ht="24.6" customHeight="1">
      <c r="A12" s="2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92"/>
    </row>
    <row r="13" spans="1:13" ht="24.6" customHeight="1">
      <c r="A13" s="2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92"/>
    </row>
    <row r="14" spans="1:13" ht="24.6" customHeight="1">
      <c r="A14" s="20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92"/>
    </row>
    <row r="15" spans="1:13" ht="24.6" customHeight="1">
      <c r="A15" s="2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92"/>
    </row>
    <row r="16" spans="1:13" ht="24.6" customHeight="1">
      <c r="A16" s="2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92"/>
    </row>
    <row r="17" spans="1:13" ht="24.6" customHeight="1">
      <c r="A17" s="2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92"/>
    </row>
    <row r="18" spans="1:13" ht="24.6" customHeight="1">
      <c r="A18" s="2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92"/>
    </row>
    <row r="19" spans="1:13" ht="24.6" customHeight="1">
      <c r="A19" s="2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92"/>
    </row>
    <row r="20" spans="1:13" ht="24.6" customHeight="1">
      <c r="A20" s="2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92"/>
    </row>
    <row r="21" spans="1:13" ht="24.6" customHeight="1">
      <c r="A21" s="2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92"/>
    </row>
    <row r="22" spans="1:13" ht="24.6" customHeight="1">
      <c r="A22" s="2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92"/>
    </row>
    <row r="23" spans="1:13" ht="24.6" customHeight="1">
      <c r="A23" s="2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92"/>
    </row>
    <row r="24" spans="1:13" ht="24.6" customHeight="1" thickBot="1">
      <c r="A24" s="93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94"/>
    </row>
    <row r="25" spans="1:13" ht="24.6" customHeight="1" thickBot="1">
      <c r="A25" s="83"/>
      <c r="B25" s="84"/>
      <c r="C25" s="85" t="s">
        <v>187</v>
      </c>
      <c r="D25" s="84"/>
      <c r="E25" s="84"/>
      <c r="F25" s="84"/>
      <c r="G25" s="84"/>
      <c r="H25" s="84"/>
      <c r="I25" s="84"/>
      <c r="J25" s="84"/>
      <c r="K25" s="84"/>
      <c r="L25" s="84"/>
      <c r="M25" s="86"/>
    </row>
    <row r="26" spans="1:13" ht="24.6" customHeight="1" thickBot="1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95"/>
    </row>
    <row r="27" spans="1:13" ht="15" thickBot="1"/>
    <row r="28" spans="1:13" ht="18">
      <c r="A28" s="100" t="s">
        <v>188</v>
      </c>
      <c r="B28" s="101"/>
      <c r="C28" s="101"/>
      <c r="D28" s="101"/>
      <c r="E28" s="102"/>
    </row>
    <row r="29" spans="1:13">
      <c r="A29" s="74"/>
      <c r="B29" s="75"/>
      <c r="C29" s="75"/>
      <c r="D29" s="75"/>
      <c r="E29" s="80" t="s">
        <v>39</v>
      </c>
    </row>
    <row r="30" spans="1:13" ht="15.6">
      <c r="A30" s="79" t="s">
        <v>189</v>
      </c>
      <c r="B30" s="75"/>
      <c r="C30" s="75"/>
      <c r="D30" s="75"/>
      <c r="E30" s="76"/>
    </row>
    <row r="31" spans="1:13" ht="15.6">
      <c r="A31" s="79"/>
      <c r="B31" s="75"/>
      <c r="C31" s="75"/>
      <c r="D31" s="75"/>
      <c r="E31" s="76"/>
    </row>
    <row r="32" spans="1:13" ht="16.2" thickBot="1">
      <c r="A32" s="79" t="s">
        <v>190</v>
      </c>
      <c r="B32" s="75"/>
      <c r="C32" s="75"/>
      <c r="D32" s="75"/>
      <c r="E32" s="103"/>
    </row>
    <row r="33" spans="1:5" ht="15.6">
      <c r="A33" s="79"/>
      <c r="B33" s="75"/>
      <c r="C33" s="75"/>
      <c r="D33" s="75"/>
      <c r="E33" s="76"/>
    </row>
    <row r="34" spans="1:5" ht="15.6">
      <c r="A34" s="79"/>
      <c r="B34" s="75"/>
      <c r="C34" s="75"/>
      <c r="D34" s="75"/>
      <c r="E34" s="76"/>
    </row>
    <row r="35" spans="1:5" ht="16.2" thickBot="1">
      <c r="A35" s="79" t="s">
        <v>191</v>
      </c>
      <c r="B35" s="75"/>
      <c r="C35" s="75"/>
      <c r="D35" s="75"/>
      <c r="E35" s="103"/>
    </row>
    <row r="36" spans="1:5" ht="15.6">
      <c r="A36" s="79"/>
      <c r="B36" s="75"/>
      <c r="C36" s="75"/>
      <c r="D36" s="75"/>
      <c r="E36" s="76"/>
    </row>
    <row r="37" spans="1:5" ht="15.6">
      <c r="A37" s="79"/>
      <c r="B37" s="75"/>
      <c r="C37" s="75"/>
      <c r="D37" s="75"/>
      <c r="E37" s="76"/>
    </row>
    <row r="38" spans="1:5" ht="16.2" thickBot="1">
      <c r="A38" s="104" t="s">
        <v>192</v>
      </c>
      <c r="B38" s="105"/>
      <c r="C38" s="105"/>
      <c r="D38" s="105"/>
      <c r="E38" s="103"/>
    </row>
  </sheetData>
  <mergeCells count="2">
    <mergeCell ref="A1:M1"/>
    <mergeCell ref="A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435A-36C1-44E5-9819-5C3C1E2855D3}">
  <dimension ref="A1:M24"/>
  <sheetViews>
    <sheetView topLeftCell="A4" workbookViewId="0">
      <selection activeCell="J9" sqref="J9"/>
    </sheetView>
  </sheetViews>
  <sheetFormatPr defaultRowHeight="14.4"/>
  <cols>
    <col min="2" max="10" width="16" customWidth="1"/>
  </cols>
  <sheetData>
    <row r="1" spans="1:13" ht="18">
      <c r="A1" s="199" t="s">
        <v>116</v>
      </c>
      <c r="B1" s="199"/>
      <c r="C1" s="199"/>
      <c r="D1" s="199"/>
      <c r="E1" s="199"/>
      <c r="F1" s="199"/>
      <c r="G1" s="199"/>
      <c r="H1" s="199"/>
      <c r="I1" s="199"/>
      <c r="J1" s="109"/>
      <c r="K1" s="109"/>
      <c r="L1" s="109"/>
      <c r="M1" s="109"/>
    </row>
    <row r="2" spans="1:13" ht="18">
      <c r="A2" s="199" t="s">
        <v>117</v>
      </c>
      <c r="B2" s="199"/>
      <c r="C2" s="199"/>
      <c r="D2" s="199"/>
      <c r="E2" s="199"/>
      <c r="F2" s="199"/>
      <c r="G2" s="199"/>
      <c r="H2" s="199"/>
      <c r="I2" s="199"/>
      <c r="J2" s="109"/>
      <c r="K2" s="109"/>
      <c r="L2" s="109"/>
      <c r="M2" s="109"/>
    </row>
    <row r="4" spans="1:13" ht="15.6">
      <c r="A4" s="99" t="s">
        <v>194</v>
      </c>
    </row>
    <row r="5" spans="1:13" ht="15" thickBot="1"/>
    <row r="6" spans="1:13" ht="29.4" thickBot="1">
      <c r="A6" s="106" t="s">
        <v>195</v>
      </c>
      <c r="B6" s="107" t="s">
        <v>196</v>
      </c>
      <c r="C6" s="107" t="s">
        <v>197</v>
      </c>
      <c r="D6" s="107" t="s">
        <v>198</v>
      </c>
      <c r="E6" s="107" t="s">
        <v>199</v>
      </c>
      <c r="F6" s="107" t="s">
        <v>200</v>
      </c>
      <c r="G6" s="107" t="s">
        <v>201</v>
      </c>
      <c r="H6" s="107" t="s">
        <v>202</v>
      </c>
      <c r="I6" s="108" t="s">
        <v>203</v>
      </c>
    </row>
    <row r="7" spans="1:13">
      <c r="A7" s="87"/>
      <c r="B7" s="87"/>
      <c r="C7" s="87"/>
      <c r="D7" s="87"/>
      <c r="E7" s="87"/>
      <c r="F7" s="97" t="s">
        <v>39</v>
      </c>
      <c r="G7" s="87"/>
      <c r="H7" s="87"/>
      <c r="I7" s="87"/>
    </row>
    <row r="8" spans="1:13">
      <c r="A8" s="12"/>
      <c r="B8" s="12"/>
      <c r="C8" s="12"/>
      <c r="D8" s="12"/>
      <c r="E8" s="12"/>
      <c r="F8" s="12"/>
      <c r="G8" s="12"/>
      <c r="H8" s="12"/>
      <c r="I8" s="12"/>
    </row>
    <row r="9" spans="1:13">
      <c r="A9" s="12"/>
      <c r="B9" s="12"/>
      <c r="C9" s="12"/>
      <c r="D9" s="12"/>
      <c r="E9" s="12"/>
      <c r="F9" s="12"/>
      <c r="G9" s="12"/>
      <c r="H9" s="12"/>
      <c r="I9" s="12"/>
    </row>
    <row r="10" spans="1:13">
      <c r="A10" s="12"/>
      <c r="B10" s="12"/>
      <c r="C10" s="12"/>
      <c r="D10" s="12"/>
      <c r="E10" s="12"/>
      <c r="F10" s="12"/>
      <c r="G10" s="12"/>
      <c r="H10" s="12"/>
      <c r="I10" s="12"/>
    </row>
    <row r="11" spans="1:13">
      <c r="A11" s="12"/>
      <c r="B11" s="12"/>
      <c r="C11" s="12"/>
      <c r="D11" s="12"/>
      <c r="E11" s="12"/>
      <c r="F11" s="12"/>
      <c r="G11" s="12"/>
      <c r="H11" s="12"/>
      <c r="I11" s="12"/>
    </row>
    <row r="12" spans="1:13">
      <c r="A12" s="12"/>
      <c r="B12" s="12"/>
      <c r="C12" s="12"/>
      <c r="D12" s="12"/>
      <c r="E12" s="12"/>
      <c r="F12" s="12"/>
      <c r="G12" s="12"/>
      <c r="H12" s="12"/>
      <c r="I12" s="12"/>
    </row>
    <row r="13" spans="1:13">
      <c r="A13" s="12"/>
      <c r="B13" s="12"/>
      <c r="C13" s="12"/>
      <c r="D13" s="12"/>
      <c r="E13" s="12"/>
      <c r="F13" s="12"/>
      <c r="G13" s="12"/>
      <c r="H13" s="12"/>
      <c r="I13" s="12"/>
    </row>
    <row r="14" spans="1:13">
      <c r="A14" s="12"/>
      <c r="B14" s="12"/>
      <c r="C14" s="12"/>
      <c r="D14" s="12"/>
      <c r="E14" s="12"/>
      <c r="F14" s="12"/>
      <c r="G14" s="12"/>
      <c r="H14" s="12"/>
      <c r="I14" s="12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</row>
    <row r="17" spans="1:9">
      <c r="A17" s="12"/>
      <c r="B17" s="12"/>
      <c r="C17" s="12"/>
      <c r="D17" s="12"/>
      <c r="E17" s="12"/>
      <c r="F17" s="12"/>
      <c r="G17" s="12"/>
      <c r="H17" s="12"/>
      <c r="I17" s="12"/>
    </row>
    <row r="18" spans="1:9">
      <c r="A18" s="12"/>
      <c r="B18" s="12"/>
      <c r="C18" s="12"/>
      <c r="D18" s="12"/>
      <c r="E18" s="12"/>
      <c r="F18" s="12"/>
      <c r="G18" s="12"/>
      <c r="H18" s="12"/>
      <c r="I18" s="12"/>
    </row>
    <row r="19" spans="1:9">
      <c r="A19" s="12"/>
      <c r="B19" s="12"/>
      <c r="C19" s="12"/>
      <c r="D19" s="12"/>
      <c r="E19" s="12"/>
      <c r="F19" s="12"/>
      <c r="G19" s="12"/>
      <c r="H19" s="12"/>
      <c r="I19" s="12"/>
    </row>
    <row r="20" spans="1:9">
      <c r="A20" s="12"/>
      <c r="B20" s="12"/>
      <c r="C20" s="12"/>
      <c r="D20" s="12"/>
      <c r="E20" s="12"/>
      <c r="F20" s="12"/>
      <c r="G20" s="12"/>
      <c r="H20" s="12"/>
      <c r="I20" s="12"/>
    </row>
    <row r="21" spans="1:9">
      <c r="A21" s="12"/>
      <c r="B21" s="12"/>
      <c r="C21" s="12"/>
      <c r="D21" s="12"/>
      <c r="E21" s="12"/>
      <c r="F21" s="12"/>
      <c r="G21" s="12"/>
      <c r="H21" s="12"/>
      <c r="I21" s="12"/>
    </row>
    <row r="22" spans="1:9">
      <c r="A22" s="12"/>
      <c r="B22" s="12"/>
      <c r="C22" s="12"/>
      <c r="D22" s="12"/>
      <c r="E22" s="12"/>
      <c r="F22" s="12"/>
      <c r="G22" s="12"/>
      <c r="H22" s="12"/>
      <c r="I22" s="12"/>
    </row>
    <row r="23" spans="1:9">
      <c r="A23" s="12"/>
      <c r="B23" s="12"/>
      <c r="C23" s="12"/>
      <c r="D23" s="12"/>
      <c r="E23" s="12"/>
      <c r="F23" s="12"/>
      <c r="G23" s="12"/>
      <c r="H23" s="12"/>
      <c r="I23" s="12"/>
    </row>
    <row r="24" spans="1:9">
      <c r="A24" s="12"/>
      <c r="B24" s="12"/>
      <c r="C24" s="12"/>
      <c r="D24" s="12"/>
      <c r="E24" s="12"/>
      <c r="F24" s="12"/>
      <c r="G24" s="12"/>
      <c r="H24" s="12"/>
      <c r="I24" s="12"/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A7DC-B8EA-4443-8FA1-02BF7DE0B2E5}">
  <dimension ref="A1:L24"/>
  <sheetViews>
    <sheetView workbookViewId="0">
      <selection activeCell="H24" sqref="H24"/>
    </sheetView>
  </sheetViews>
  <sheetFormatPr defaultRowHeight="14.4"/>
  <cols>
    <col min="2" max="9" width="16" customWidth="1"/>
  </cols>
  <sheetData>
    <row r="1" spans="1:12" ht="18">
      <c r="A1" s="199" t="s">
        <v>116</v>
      </c>
      <c r="B1" s="199"/>
      <c r="C1" s="199"/>
      <c r="D1" s="199"/>
      <c r="E1" s="199"/>
      <c r="F1" s="199"/>
      <c r="G1" s="199"/>
      <c r="H1" s="199"/>
      <c r="I1" s="109"/>
      <c r="J1" s="109"/>
      <c r="K1" s="109"/>
      <c r="L1" s="109"/>
    </row>
    <row r="2" spans="1:12" ht="18">
      <c r="A2" s="199" t="s">
        <v>117</v>
      </c>
      <c r="B2" s="199"/>
      <c r="C2" s="199"/>
      <c r="D2" s="199"/>
      <c r="E2" s="199"/>
      <c r="F2" s="199"/>
      <c r="G2" s="199"/>
      <c r="H2" s="199"/>
      <c r="I2" s="109"/>
      <c r="J2" s="109"/>
      <c r="K2" s="109"/>
      <c r="L2" s="109"/>
    </row>
    <row r="4" spans="1:12" ht="15.6">
      <c r="A4" s="99" t="s">
        <v>204</v>
      </c>
    </row>
    <row r="5" spans="1:12" ht="15" thickBot="1"/>
    <row r="6" spans="1:12" ht="29.4" thickBot="1">
      <c r="A6" s="106" t="s">
        <v>205</v>
      </c>
      <c r="B6" s="107" t="s">
        <v>206</v>
      </c>
      <c r="C6" s="107" t="s">
        <v>207</v>
      </c>
      <c r="D6" s="107" t="s">
        <v>208</v>
      </c>
      <c r="E6" s="107" t="s">
        <v>209</v>
      </c>
      <c r="F6" s="107" t="s">
        <v>210</v>
      </c>
      <c r="G6" s="107" t="s">
        <v>211</v>
      </c>
      <c r="H6" s="108" t="s">
        <v>212</v>
      </c>
    </row>
    <row r="7" spans="1:12">
      <c r="A7" s="87"/>
      <c r="B7" s="87"/>
      <c r="C7" s="87"/>
      <c r="D7" s="87"/>
      <c r="E7" s="87"/>
      <c r="F7" s="97"/>
      <c r="G7" s="97" t="s">
        <v>39</v>
      </c>
      <c r="H7" s="97" t="s">
        <v>39</v>
      </c>
    </row>
    <row r="8" spans="1:12">
      <c r="A8" s="12"/>
      <c r="B8" s="12"/>
      <c r="C8" s="12"/>
      <c r="D8" s="12"/>
      <c r="E8" s="12"/>
      <c r="F8" s="13">
        <f>C8+D8-E8</f>
        <v>0</v>
      </c>
      <c r="G8" s="13"/>
      <c r="H8" s="13">
        <f>F8*G8</f>
        <v>0</v>
      </c>
    </row>
    <row r="9" spans="1:12">
      <c r="A9" s="12"/>
      <c r="B9" s="12"/>
      <c r="C9" s="12"/>
      <c r="D9" s="12"/>
      <c r="E9" s="12"/>
      <c r="F9" s="13">
        <f t="shared" ref="F9:F24" si="0">C9+D9-E9</f>
        <v>0</v>
      </c>
      <c r="G9" s="13"/>
      <c r="H9" s="13">
        <f t="shared" ref="H9:H24" si="1">F9*G9</f>
        <v>0</v>
      </c>
    </row>
    <row r="10" spans="1:12">
      <c r="A10" s="12"/>
      <c r="B10" s="12"/>
      <c r="C10" s="12"/>
      <c r="D10" s="12"/>
      <c r="E10" s="12"/>
      <c r="F10" s="13">
        <f t="shared" si="0"/>
        <v>0</v>
      </c>
      <c r="G10" s="13"/>
      <c r="H10" s="13">
        <f t="shared" si="1"/>
        <v>0</v>
      </c>
    </row>
    <row r="11" spans="1:12">
      <c r="A11" s="12"/>
      <c r="B11" s="12"/>
      <c r="C11" s="12"/>
      <c r="D11" s="12"/>
      <c r="E11" s="12"/>
      <c r="F11" s="13">
        <f t="shared" si="0"/>
        <v>0</v>
      </c>
      <c r="G11" s="13"/>
      <c r="H11" s="13">
        <f t="shared" si="1"/>
        <v>0</v>
      </c>
    </row>
    <row r="12" spans="1:12">
      <c r="A12" s="12"/>
      <c r="B12" s="12"/>
      <c r="C12" s="12"/>
      <c r="D12" s="12"/>
      <c r="E12" s="12"/>
      <c r="F12" s="13">
        <f t="shared" si="0"/>
        <v>0</v>
      </c>
      <c r="G12" s="13"/>
      <c r="H12" s="13">
        <f t="shared" si="1"/>
        <v>0</v>
      </c>
    </row>
    <row r="13" spans="1:12">
      <c r="A13" s="12"/>
      <c r="B13" s="12"/>
      <c r="C13" s="12"/>
      <c r="D13" s="12"/>
      <c r="E13" s="12"/>
      <c r="F13" s="13">
        <f t="shared" si="0"/>
        <v>0</v>
      </c>
      <c r="G13" s="13"/>
      <c r="H13" s="13">
        <f t="shared" si="1"/>
        <v>0</v>
      </c>
    </row>
    <row r="14" spans="1:12">
      <c r="A14" s="12"/>
      <c r="B14" s="12"/>
      <c r="C14" s="12"/>
      <c r="D14" s="12"/>
      <c r="E14" s="12"/>
      <c r="F14" s="13">
        <f t="shared" si="0"/>
        <v>0</v>
      </c>
      <c r="G14" s="13"/>
      <c r="H14" s="13">
        <f t="shared" si="1"/>
        <v>0</v>
      </c>
    </row>
    <row r="15" spans="1:12">
      <c r="A15" s="12"/>
      <c r="B15" s="12"/>
      <c r="C15" s="12"/>
      <c r="D15" s="12"/>
      <c r="E15" s="12"/>
      <c r="F15" s="13">
        <f t="shared" si="0"/>
        <v>0</v>
      </c>
      <c r="G15" s="13"/>
      <c r="H15" s="13">
        <f t="shared" si="1"/>
        <v>0</v>
      </c>
    </row>
    <row r="16" spans="1:12">
      <c r="A16" s="12"/>
      <c r="B16" s="12"/>
      <c r="C16" s="12"/>
      <c r="D16" s="12"/>
      <c r="E16" s="12"/>
      <c r="F16" s="13">
        <f t="shared" si="0"/>
        <v>0</v>
      </c>
      <c r="G16" s="13"/>
      <c r="H16" s="13">
        <f t="shared" si="1"/>
        <v>0</v>
      </c>
    </row>
    <row r="17" spans="1:8">
      <c r="A17" s="12"/>
      <c r="B17" s="12"/>
      <c r="C17" s="12"/>
      <c r="D17" s="12"/>
      <c r="E17" s="12"/>
      <c r="F17" s="13">
        <f t="shared" si="0"/>
        <v>0</v>
      </c>
      <c r="G17" s="13"/>
      <c r="H17" s="13">
        <f t="shared" si="1"/>
        <v>0</v>
      </c>
    </row>
    <row r="18" spans="1:8">
      <c r="A18" s="12"/>
      <c r="B18" s="12"/>
      <c r="C18" s="12"/>
      <c r="D18" s="12"/>
      <c r="E18" s="12"/>
      <c r="F18" s="13">
        <f t="shared" si="0"/>
        <v>0</v>
      </c>
      <c r="G18" s="13"/>
      <c r="H18" s="13">
        <f t="shared" si="1"/>
        <v>0</v>
      </c>
    </row>
    <row r="19" spans="1:8">
      <c r="A19" s="12"/>
      <c r="B19" s="12"/>
      <c r="C19" s="12"/>
      <c r="D19" s="12"/>
      <c r="E19" s="12"/>
      <c r="F19" s="13">
        <f t="shared" si="0"/>
        <v>0</v>
      </c>
      <c r="G19" s="13"/>
      <c r="H19" s="13">
        <f t="shared" si="1"/>
        <v>0</v>
      </c>
    </row>
    <row r="20" spans="1:8">
      <c r="A20" s="12"/>
      <c r="B20" s="12"/>
      <c r="C20" s="12"/>
      <c r="D20" s="12"/>
      <c r="E20" s="12"/>
      <c r="F20" s="13">
        <f t="shared" si="0"/>
        <v>0</v>
      </c>
      <c r="G20" s="13"/>
      <c r="H20" s="13">
        <f t="shared" si="1"/>
        <v>0</v>
      </c>
    </row>
    <row r="21" spans="1:8">
      <c r="A21" s="12"/>
      <c r="B21" s="12"/>
      <c r="C21" s="12"/>
      <c r="D21" s="12"/>
      <c r="E21" s="12"/>
      <c r="F21" s="13">
        <f t="shared" si="0"/>
        <v>0</v>
      </c>
      <c r="G21" s="13"/>
      <c r="H21" s="13">
        <f t="shared" si="1"/>
        <v>0</v>
      </c>
    </row>
    <row r="22" spans="1:8">
      <c r="A22" s="12"/>
      <c r="B22" s="12"/>
      <c r="C22" s="12"/>
      <c r="D22" s="12"/>
      <c r="E22" s="12"/>
      <c r="F22" s="13">
        <f t="shared" si="0"/>
        <v>0</v>
      </c>
      <c r="G22" s="13"/>
      <c r="H22" s="13">
        <f t="shared" si="1"/>
        <v>0</v>
      </c>
    </row>
    <row r="23" spans="1:8">
      <c r="A23" s="12"/>
      <c r="B23" s="12"/>
      <c r="C23" s="12"/>
      <c r="D23" s="12"/>
      <c r="E23" s="12"/>
      <c r="F23" s="13">
        <f t="shared" si="0"/>
        <v>0</v>
      </c>
      <c r="G23" s="13"/>
      <c r="H23" s="13">
        <f t="shared" si="1"/>
        <v>0</v>
      </c>
    </row>
    <row r="24" spans="1:8">
      <c r="A24" s="12"/>
      <c r="B24" s="12"/>
      <c r="C24" s="12"/>
      <c r="D24" s="12"/>
      <c r="E24" s="12"/>
      <c r="F24" s="13">
        <f t="shared" si="0"/>
        <v>0</v>
      </c>
      <c r="G24" s="13"/>
      <c r="H24" s="13">
        <f t="shared" si="1"/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9BE3-73EB-4C17-8585-96BF323ACCDF}">
  <dimension ref="A1:K63"/>
  <sheetViews>
    <sheetView topLeftCell="A2" workbookViewId="0">
      <selection activeCell="C61" sqref="C61"/>
    </sheetView>
  </sheetViews>
  <sheetFormatPr defaultRowHeight="14.4"/>
  <cols>
    <col min="1" max="1" width="31.6640625" customWidth="1"/>
    <col min="2" max="2" width="6.77734375" style="67" customWidth="1"/>
    <col min="3" max="11" width="18.21875" style="34" customWidth="1"/>
  </cols>
  <sheetData>
    <row r="1" spans="1:11" ht="18">
      <c r="A1" s="199" t="s">
        <v>116</v>
      </c>
      <c r="B1" s="199"/>
      <c r="C1" s="199"/>
      <c r="D1" s="199"/>
      <c r="E1" s="199"/>
      <c r="F1" s="199"/>
      <c r="G1" s="199"/>
      <c r="H1" s="199"/>
      <c r="I1" s="199"/>
    </row>
    <row r="2" spans="1:11" ht="18">
      <c r="A2" s="199" t="s">
        <v>117</v>
      </c>
      <c r="B2" s="199"/>
      <c r="C2" s="199"/>
      <c r="D2" s="199"/>
      <c r="E2" s="199"/>
      <c r="F2" s="199"/>
      <c r="G2" s="199"/>
      <c r="H2" s="199"/>
      <c r="I2" s="199"/>
    </row>
    <row r="4" spans="1:11">
      <c r="A4" s="70" t="s">
        <v>213</v>
      </c>
      <c r="B4" s="65"/>
    </row>
    <row r="6" spans="1:11" s="81" customFormat="1">
      <c r="A6" s="66" t="s">
        <v>35</v>
      </c>
      <c r="B6" s="66" t="s">
        <v>56</v>
      </c>
      <c r="C6" s="110" t="s">
        <v>214</v>
      </c>
      <c r="D6" s="110" t="s">
        <v>82</v>
      </c>
      <c r="E6" s="110" t="s">
        <v>85</v>
      </c>
      <c r="F6" s="110" t="s">
        <v>84</v>
      </c>
      <c r="G6" s="110" t="s">
        <v>88</v>
      </c>
      <c r="H6" s="110" t="s">
        <v>86</v>
      </c>
      <c r="I6" s="110" t="s">
        <v>87</v>
      </c>
      <c r="J6" s="110" t="s">
        <v>83</v>
      </c>
      <c r="K6" s="110" t="s">
        <v>43</v>
      </c>
    </row>
    <row r="7" spans="1:11">
      <c r="A7" s="12"/>
      <c r="B7" s="72"/>
      <c r="C7" s="8" t="s">
        <v>39</v>
      </c>
      <c r="D7" s="8" t="s">
        <v>39</v>
      </c>
      <c r="E7" s="8" t="s">
        <v>39</v>
      </c>
      <c r="F7" s="8" t="s">
        <v>39</v>
      </c>
      <c r="G7" s="8" t="s">
        <v>39</v>
      </c>
      <c r="H7" s="8" t="s">
        <v>39</v>
      </c>
      <c r="I7" s="8" t="s">
        <v>39</v>
      </c>
      <c r="J7" s="8" t="s">
        <v>39</v>
      </c>
      <c r="K7" s="8" t="s">
        <v>39</v>
      </c>
    </row>
    <row r="8" spans="1:11">
      <c r="A8" s="12" t="s">
        <v>215</v>
      </c>
      <c r="B8" s="72"/>
      <c r="C8" s="13"/>
      <c r="D8" s="13"/>
      <c r="E8" s="13"/>
      <c r="F8" s="13"/>
      <c r="G8" s="13"/>
      <c r="H8" s="13"/>
      <c r="I8" s="13"/>
      <c r="J8" s="13"/>
      <c r="K8" s="13">
        <f>SUM(C8:J8)</f>
        <v>0</v>
      </c>
    </row>
    <row r="9" spans="1:11">
      <c r="A9" s="12" t="s">
        <v>216</v>
      </c>
      <c r="B9" s="72"/>
      <c r="C9" s="13"/>
      <c r="D9" s="13"/>
      <c r="E9" s="13"/>
      <c r="F9" s="13"/>
      <c r="G9" s="13"/>
      <c r="H9" s="13"/>
      <c r="I9" s="13"/>
      <c r="J9" s="13"/>
      <c r="K9" s="13">
        <f t="shared" ref="K9:K28" si="0">SUM(C9:J9)</f>
        <v>0</v>
      </c>
    </row>
    <row r="10" spans="1:11">
      <c r="A10" s="12" t="s">
        <v>217</v>
      </c>
      <c r="B10" s="72"/>
      <c r="C10" s="13"/>
      <c r="D10" s="13"/>
      <c r="E10" s="13"/>
      <c r="F10" s="13"/>
      <c r="G10" s="13"/>
      <c r="H10" s="13"/>
      <c r="I10" s="13"/>
      <c r="J10" s="13"/>
      <c r="K10" s="13">
        <f t="shared" si="0"/>
        <v>0</v>
      </c>
    </row>
    <row r="11" spans="1:11">
      <c r="A11" s="12" t="s">
        <v>218</v>
      </c>
      <c r="B11" s="72"/>
      <c r="C11" s="13"/>
      <c r="D11" s="13"/>
      <c r="E11" s="13"/>
      <c r="F11" s="13"/>
      <c r="G11" s="13"/>
      <c r="H11" s="13"/>
      <c r="I11" s="13"/>
      <c r="J11" s="13"/>
      <c r="K11" s="13">
        <f t="shared" si="0"/>
        <v>0</v>
      </c>
    </row>
    <row r="12" spans="1:11">
      <c r="A12" s="12" t="s">
        <v>219</v>
      </c>
      <c r="B12" s="72"/>
      <c r="C12" s="13"/>
      <c r="D12" s="13"/>
      <c r="E12" s="13"/>
      <c r="F12" s="13"/>
      <c r="G12" s="13"/>
      <c r="H12" s="13"/>
      <c r="I12" s="13"/>
      <c r="J12" s="13"/>
      <c r="K12" s="13">
        <f t="shared" si="0"/>
        <v>0</v>
      </c>
    </row>
    <row r="13" spans="1:11">
      <c r="A13" s="12" t="s">
        <v>220</v>
      </c>
      <c r="B13" s="72"/>
      <c r="C13" s="13"/>
      <c r="D13" s="13"/>
      <c r="E13" s="13"/>
      <c r="F13" s="13"/>
      <c r="G13" s="13"/>
      <c r="H13" s="13"/>
      <c r="I13" s="13"/>
      <c r="J13" s="13"/>
      <c r="K13" s="13">
        <f t="shared" si="0"/>
        <v>0</v>
      </c>
    </row>
    <row r="14" spans="1:11">
      <c r="A14" s="12" t="s">
        <v>221</v>
      </c>
      <c r="B14" s="72"/>
      <c r="C14" s="13"/>
      <c r="D14" s="13"/>
      <c r="E14" s="13"/>
      <c r="F14" s="13"/>
      <c r="G14" s="13"/>
      <c r="H14" s="13"/>
      <c r="I14" s="13"/>
      <c r="J14" s="13"/>
      <c r="K14" s="13">
        <f t="shared" si="0"/>
        <v>0</v>
      </c>
    </row>
    <row r="15" spans="1:11">
      <c r="A15" s="12" t="s">
        <v>222</v>
      </c>
      <c r="B15" s="72"/>
      <c r="C15" s="13"/>
      <c r="D15" s="13"/>
      <c r="E15" s="13"/>
      <c r="F15" s="13"/>
      <c r="G15" s="13"/>
      <c r="H15" s="13"/>
      <c r="I15" s="13"/>
      <c r="J15" s="13"/>
      <c r="K15" s="13">
        <f t="shared" si="0"/>
        <v>0</v>
      </c>
    </row>
    <row r="16" spans="1:11">
      <c r="A16" s="12" t="s">
        <v>223</v>
      </c>
      <c r="B16" s="72"/>
      <c r="C16" s="13"/>
      <c r="D16" s="13"/>
      <c r="E16" s="13"/>
      <c r="F16" s="13"/>
      <c r="G16" s="13"/>
      <c r="H16" s="13"/>
      <c r="I16" s="13"/>
      <c r="J16" s="13"/>
      <c r="K16" s="13">
        <f t="shared" si="0"/>
        <v>0</v>
      </c>
    </row>
    <row r="17" spans="1:11">
      <c r="A17" s="12" t="s">
        <v>224</v>
      </c>
      <c r="B17" s="72"/>
      <c r="C17" s="13"/>
      <c r="D17" s="13"/>
      <c r="E17" s="13"/>
      <c r="F17" s="13"/>
      <c r="G17" s="13"/>
      <c r="H17" s="13"/>
      <c r="I17" s="13"/>
      <c r="J17" s="13"/>
      <c r="K17" s="13">
        <f t="shared" si="0"/>
        <v>0</v>
      </c>
    </row>
    <row r="18" spans="1:11">
      <c r="A18" s="12" t="s">
        <v>145</v>
      </c>
      <c r="B18" s="72"/>
      <c r="C18" s="13"/>
      <c r="D18" s="13"/>
      <c r="E18" s="13"/>
      <c r="F18" s="13"/>
      <c r="G18" s="13"/>
      <c r="H18" s="13"/>
      <c r="I18" s="13"/>
      <c r="J18" s="13"/>
      <c r="K18" s="13">
        <f t="shared" si="0"/>
        <v>0</v>
      </c>
    </row>
    <row r="19" spans="1:11">
      <c r="A19" s="12" t="s">
        <v>225</v>
      </c>
      <c r="B19" s="72"/>
      <c r="C19" s="13"/>
      <c r="D19" s="13"/>
      <c r="E19" s="13"/>
      <c r="F19" s="13"/>
      <c r="G19" s="13"/>
      <c r="H19" s="13"/>
      <c r="I19" s="13"/>
      <c r="J19" s="13"/>
      <c r="K19" s="13">
        <f t="shared" si="0"/>
        <v>0</v>
      </c>
    </row>
    <row r="20" spans="1:11">
      <c r="A20" s="12" t="s">
        <v>226</v>
      </c>
      <c r="B20" s="72"/>
      <c r="C20" s="13"/>
      <c r="D20" s="13"/>
      <c r="E20" s="13"/>
      <c r="F20" s="13"/>
      <c r="G20" s="13"/>
      <c r="H20" s="13"/>
      <c r="I20" s="13"/>
      <c r="J20" s="13"/>
      <c r="K20" s="13">
        <f t="shared" si="0"/>
        <v>0</v>
      </c>
    </row>
    <row r="21" spans="1:11">
      <c r="A21" s="12" t="s">
        <v>133</v>
      </c>
      <c r="B21" s="72"/>
      <c r="C21" s="13"/>
      <c r="D21" s="13"/>
      <c r="E21" s="13"/>
      <c r="F21" s="13"/>
      <c r="G21" s="13"/>
      <c r="H21" s="13"/>
      <c r="I21" s="13"/>
      <c r="J21" s="13"/>
      <c r="K21" s="13">
        <f t="shared" si="0"/>
        <v>0</v>
      </c>
    </row>
    <row r="22" spans="1:11">
      <c r="A22" s="12" t="s">
        <v>227</v>
      </c>
      <c r="B22" s="72"/>
      <c r="C22" s="13"/>
      <c r="D22" s="13"/>
      <c r="E22" s="13"/>
      <c r="F22" s="13"/>
      <c r="G22" s="13"/>
      <c r="H22" s="13"/>
      <c r="I22" s="13"/>
      <c r="J22" s="13"/>
      <c r="K22" s="13">
        <f t="shared" si="0"/>
        <v>0</v>
      </c>
    </row>
    <row r="23" spans="1:11">
      <c r="A23" s="12" t="s">
        <v>228</v>
      </c>
      <c r="B23" s="72"/>
      <c r="C23" s="13"/>
      <c r="D23" s="13"/>
      <c r="E23" s="13"/>
      <c r="F23" s="13"/>
      <c r="G23" s="13"/>
      <c r="H23" s="13"/>
      <c r="I23" s="13"/>
      <c r="J23" s="13"/>
      <c r="K23" s="13">
        <f t="shared" si="0"/>
        <v>0</v>
      </c>
    </row>
    <row r="24" spans="1:11">
      <c r="A24" s="12" t="s">
        <v>229</v>
      </c>
      <c r="B24" s="72"/>
      <c r="C24" s="13"/>
      <c r="D24" s="13"/>
      <c r="E24" s="13"/>
      <c r="F24" s="13"/>
      <c r="G24" s="13"/>
      <c r="H24" s="13"/>
      <c r="I24" s="13"/>
      <c r="J24" s="13"/>
      <c r="K24" s="13">
        <f t="shared" si="0"/>
        <v>0</v>
      </c>
    </row>
    <row r="25" spans="1:11">
      <c r="A25" s="12" t="s">
        <v>230</v>
      </c>
      <c r="B25" s="72"/>
      <c r="C25" s="13"/>
      <c r="D25" s="13"/>
      <c r="E25" s="13"/>
      <c r="F25" s="13"/>
      <c r="G25" s="13"/>
      <c r="H25" s="13"/>
      <c r="I25" s="13"/>
      <c r="J25" s="13"/>
      <c r="K25" s="13">
        <f t="shared" si="0"/>
        <v>0</v>
      </c>
    </row>
    <row r="26" spans="1:11">
      <c r="A26" s="12" t="s">
        <v>231</v>
      </c>
      <c r="B26" s="72"/>
      <c r="C26" s="13"/>
      <c r="D26" s="13"/>
      <c r="E26" s="13"/>
      <c r="F26" s="13"/>
      <c r="G26" s="13"/>
      <c r="H26" s="13"/>
      <c r="I26" s="13"/>
      <c r="J26" s="13"/>
      <c r="K26" s="13">
        <f t="shared" si="0"/>
        <v>0</v>
      </c>
    </row>
    <row r="27" spans="1:11">
      <c r="A27" s="12" t="s">
        <v>186</v>
      </c>
      <c r="B27" s="72">
        <v>1</v>
      </c>
      <c r="C27" s="13"/>
      <c r="D27" s="13"/>
      <c r="E27" s="13"/>
      <c r="F27" s="13"/>
      <c r="G27" s="13"/>
      <c r="H27" s="13"/>
      <c r="I27" s="13"/>
      <c r="J27" s="13"/>
      <c r="K27" s="13">
        <f t="shared" si="0"/>
        <v>0</v>
      </c>
    </row>
    <row r="28" spans="1:11">
      <c r="A28" s="12"/>
      <c r="B28" s="72"/>
      <c r="C28" s="13"/>
      <c r="D28" s="13"/>
      <c r="E28" s="13"/>
      <c r="F28" s="13"/>
      <c r="G28" s="13"/>
      <c r="H28" s="13"/>
      <c r="I28" s="13"/>
      <c r="J28" s="13"/>
      <c r="K28" s="13">
        <f t="shared" si="0"/>
        <v>0</v>
      </c>
    </row>
    <row r="29" spans="1:11">
      <c r="A29" s="37" t="s">
        <v>232</v>
      </c>
      <c r="B29" s="7"/>
      <c r="C29" s="13">
        <f>SUM(C8:C28)</f>
        <v>0</v>
      </c>
      <c r="D29" s="13">
        <f t="shared" ref="D29:K29" si="1">SUM(D8:D28)</f>
        <v>0</v>
      </c>
      <c r="E29" s="13">
        <f t="shared" si="1"/>
        <v>0</v>
      </c>
      <c r="F29" s="13">
        <f t="shared" si="1"/>
        <v>0</v>
      </c>
      <c r="G29" s="13">
        <f t="shared" si="1"/>
        <v>0</v>
      </c>
      <c r="H29" s="13">
        <f t="shared" si="1"/>
        <v>0</v>
      </c>
      <c r="I29" s="13">
        <f t="shared" si="1"/>
        <v>0</v>
      </c>
      <c r="J29" s="13">
        <f t="shared" si="1"/>
        <v>0</v>
      </c>
      <c r="K29" s="13">
        <f t="shared" si="1"/>
        <v>0</v>
      </c>
    </row>
    <row r="30" spans="1:11">
      <c r="A30" s="12"/>
      <c r="B30" s="72"/>
      <c r="C30" s="13"/>
      <c r="D30" s="13"/>
      <c r="E30" s="13"/>
      <c r="F30" s="13"/>
      <c r="G30" s="13"/>
      <c r="H30" s="13"/>
      <c r="I30" s="13"/>
      <c r="J30" s="13"/>
      <c r="K30" s="13"/>
    </row>
    <row r="31" spans="1:11">
      <c r="A31" s="37" t="s">
        <v>48</v>
      </c>
      <c r="B31" s="7"/>
      <c r="C31" s="13"/>
      <c r="D31" s="13"/>
      <c r="E31" s="13"/>
      <c r="F31" s="13"/>
      <c r="G31" s="13"/>
      <c r="H31" s="13"/>
      <c r="I31" s="13"/>
      <c r="J31" s="13"/>
      <c r="K31" s="13"/>
    </row>
    <row r="32" spans="1:11">
      <c r="A32" s="12"/>
      <c r="B32" s="72"/>
      <c r="C32" s="13"/>
      <c r="D32" s="13"/>
      <c r="E32" s="13"/>
      <c r="F32" s="13"/>
      <c r="G32" s="13"/>
      <c r="H32" s="13"/>
      <c r="I32" s="13"/>
      <c r="J32" s="13"/>
      <c r="K32" s="13"/>
    </row>
    <row r="33" spans="1:11">
      <c r="A33" s="12" t="s">
        <v>233</v>
      </c>
      <c r="B33" s="72"/>
      <c r="C33" s="13"/>
      <c r="D33" s="13"/>
      <c r="E33" s="13"/>
      <c r="F33" s="13"/>
      <c r="G33" s="13"/>
      <c r="H33" s="13"/>
      <c r="I33" s="13"/>
      <c r="J33" s="13"/>
      <c r="K33" s="13">
        <f t="shared" ref="K33:K60" si="2">SUM(C33:J33)</f>
        <v>0</v>
      </c>
    </row>
    <row r="34" spans="1:11">
      <c r="A34" s="12" t="s">
        <v>235</v>
      </c>
      <c r="B34" s="72"/>
      <c r="C34" s="13"/>
      <c r="D34" s="13"/>
      <c r="E34" s="13"/>
      <c r="F34" s="13"/>
      <c r="G34" s="13"/>
      <c r="H34" s="13"/>
      <c r="I34" s="13"/>
      <c r="J34" s="13"/>
      <c r="K34" s="13">
        <f t="shared" si="2"/>
        <v>0</v>
      </c>
    </row>
    <row r="35" spans="1:11">
      <c r="A35" s="12" t="s">
        <v>236</v>
      </c>
      <c r="B35" s="72"/>
      <c r="C35" s="13"/>
      <c r="D35" s="13"/>
      <c r="E35" s="13"/>
      <c r="F35" s="13"/>
      <c r="G35" s="13"/>
      <c r="H35" s="13"/>
      <c r="I35" s="13"/>
      <c r="J35" s="13"/>
      <c r="K35" s="13">
        <f t="shared" si="2"/>
        <v>0</v>
      </c>
    </row>
    <row r="36" spans="1:11">
      <c r="A36" s="12" t="s">
        <v>234</v>
      </c>
      <c r="B36" s="72"/>
      <c r="C36" s="13"/>
      <c r="D36" s="13"/>
      <c r="E36" s="13"/>
      <c r="F36" s="13"/>
      <c r="G36" s="13"/>
      <c r="H36" s="13"/>
      <c r="I36" s="13"/>
      <c r="J36" s="13"/>
      <c r="K36" s="13">
        <f t="shared" si="2"/>
        <v>0</v>
      </c>
    </row>
    <row r="37" spans="1:11">
      <c r="A37" s="12" t="s">
        <v>235</v>
      </c>
      <c r="B37" s="72"/>
      <c r="C37" s="13"/>
      <c r="D37" s="13"/>
      <c r="E37" s="13"/>
      <c r="F37" s="13"/>
      <c r="G37" s="13"/>
      <c r="H37" s="13"/>
      <c r="I37" s="13"/>
      <c r="J37" s="13"/>
      <c r="K37" s="13">
        <f t="shared" si="2"/>
        <v>0</v>
      </c>
    </row>
    <row r="38" spans="1:11">
      <c r="A38" s="12" t="s">
        <v>236</v>
      </c>
      <c r="B38" s="72"/>
      <c r="C38" s="13"/>
      <c r="D38" s="13"/>
      <c r="E38" s="13"/>
      <c r="F38" s="13"/>
      <c r="G38" s="13"/>
      <c r="H38" s="13"/>
      <c r="I38" s="13"/>
      <c r="J38" s="13"/>
      <c r="K38" s="13">
        <f t="shared" si="2"/>
        <v>0</v>
      </c>
    </row>
    <row r="39" spans="1:11">
      <c r="A39" s="12" t="s">
        <v>237</v>
      </c>
      <c r="B39" s="72"/>
      <c r="C39" s="13"/>
      <c r="D39" s="13"/>
      <c r="E39" s="13"/>
      <c r="F39" s="13"/>
      <c r="G39" s="13"/>
      <c r="H39" s="13"/>
      <c r="I39" s="13"/>
      <c r="J39" s="13"/>
      <c r="K39" s="13">
        <f t="shared" si="2"/>
        <v>0</v>
      </c>
    </row>
    <row r="40" spans="1:11">
      <c r="A40" s="12" t="s">
        <v>238</v>
      </c>
      <c r="B40" s="72"/>
      <c r="C40" s="13"/>
      <c r="D40" s="13"/>
      <c r="E40" s="13"/>
      <c r="F40" s="13"/>
      <c r="G40" s="13"/>
      <c r="H40" s="13"/>
      <c r="I40" s="13"/>
      <c r="J40" s="13"/>
      <c r="K40" s="13">
        <f t="shared" si="2"/>
        <v>0</v>
      </c>
    </row>
    <row r="41" spans="1:11">
      <c r="A41" s="12" t="s">
        <v>239</v>
      </c>
      <c r="B41" s="72">
        <v>2</v>
      </c>
      <c r="C41" s="13"/>
      <c r="D41" s="13"/>
      <c r="E41" s="13"/>
      <c r="F41" s="13"/>
      <c r="G41" s="13"/>
      <c r="H41" s="13"/>
      <c r="I41" s="13"/>
      <c r="J41" s="13"/>
      <c r="K41" s="13">
        <f t="shared" si="2"/>
        <v>0</v>
      </c>
    </row>
    <row r="42" spans="1:11">
      <c r="A42" s="12" t="s">
        <v>240</v>
      </c>
      <c r="B42" s="72"/>
      <c r="C42" s="13"/>
      <c r="D42" s="13"/>
      <c r="E42" s="13"/>
      <c r="F42" s="13"/>
      <c r="G42" s="13"/>
      <c r="H42" s="13"/>
      <c r="I42" s="13"/>
      <c r="J42" s="13"/>
      <c r="K42" s="13">
        <f t="shared" si="2"/>
        <v>0</v>
      </c>
    </row>
    <row r="43" spans="1:11">
      <c r="A43" s="12" t="s">
        <v>241</v>
      </c>
      <c r="B43" s="72">
        <v>3</v>
      </c>
      <c r="C43" s="13"/>
      <c r="D43" s="13"/>
      <c r="E43" s="13"/>
      <c r="F43" s="13"/>
      <c r="G43" s="13"/>
      <c r="H43" s="13"/>
      <c r="I43" s="13"/>
      <c r="J43" s="13"/>
      <c r="K43" s="13">
        <f t="shared" si="2"/>
        <v>0</v>
      </c>
    </row>
    <row r="44" spans="1:11">
      <c r="A44" s="12" t="s">
        <v>242</v>
      </c>
      <c r="B44" s="72"/>
      <c r="C44" s="13"/>
      <c r="D44" s="13"/>
      <c r="E44" s="13"/>
      <c r="F44" s="13"/>
      <c r="G44" s="13"/>
      <c r="H44" s="13"/>
      <c r="I44" s="13"/>
      <c r="J44" s="13"/>
      <c r="K44" s="13">
        <f t="shared" si="2"/>
        <v>0</v>
      </c>
    </row>
    <row r="45" spans="1:11">
      <c r="A45" s="12" t="s">
        <v>243</v>
      </c>
      <c r="B45" s="72"/>
      <c r="C45" s="13"/>
      <c r="D45" s="13"/>
      <c r="E45" s="13"/>
      <c r="F45" s="13"/>
      <c r="G45" s="13"/>
      <c r="H45" s="13"/>
      <c r="I45" s="13"/>
      <c r="J45" s="13"/>
      <c r="K45" s="13">
        <f t="shared" si="2"/>
        <v>0</v>
      </c>
    </row>
    <row r="46" spans="1:11">
      <c r="A46" s="12" t="s">
        <v>244</v>
      </c>
      <c r="B46" s="72">
        <v>4</v>
      </c>
      <c r="C46" s="13"/>
      <c r="D46" s="13"/>
      <c r="E46" s="13"/>
      <c r="F46" s="13"/>
      <c r="G46" s="13"/>
      <c r="H46" s="13"/>
      <c r="I46" s="13"/>
      <c r="J46" s="13"/>
      <c r="K46" s="13">
        <f t="shared" si="2"/>
        <v>0</v>
      </c>
    </row>
    <row r="47" spans="1:11">
      <c r="A47" s="12" t="s">
        <v>245</v>
      </c>
      <c r="B47" s="72">
        <v>5</v>
      </c>
      <c r="C47" s="13"/>
      <c r="D47" s="13"/>
      <c r="E47" s="13"/>
      <c r="F47" s="13"/>
      <c r="G47" s="13"/>
      <c r="H47" s="13"/>
      <c r="I47" s="13"/>
      <c r="J47" s="13"/>
      <c r="K47" s="13">
        <f t="shared" si="2"/>
        <v>0</v>
      </c>
    </row>
    <row r="48" spans="1:11">
      <c r="A48" s="12" t="s">
        <v>246</v>
      </c>
      <c r="B48" s="72"/>
      <c r="C48" s="13"/>
      <c r="D48" s="13"/>
      <c r="E48" s="13"/>
      <c r="F48" s="13"/>
      <c r="G48" s="13"/>
      <c r="H48" s="13"/>
      <c r="I48" s="13"/>
      <c r="J48" s="13"/>
      <c r="K48" s="13">
        <f t="shared" si="2"/>
        <v>0</v>
      </c>
    </row>
    <row r="49" spans="1:11">
      <c r="A49" s="12" t="s">
        <v>247</v>
      </c>
      <c r="B49" s="72"/>
      <c r="C49" s="13"/>
      <c r="D49" s="13"/>
      <c r="E49" s="13"/>
      <c r="F49" s="13"/>
      <c r="G49" s="13"/>
      <c r="H49" s="13"/>
      <c r="I49" s="13"/>
      <c r="J49" s="13"/>
      <c r="K49" s="13">
        <f t="shared" si="2"/>
        <v>0</v>
      </c>
    </row>
    <row r="50" spans="1:11">
      <c r="A50" s="12" t="s">
        <v>248</v>
      </c>
      <c r="B50" s="72"/>
      <c r="C50" s="13"/>
      <c r="D50" s="13"/>
      <c r="E50" s="13"/>
      <c r="F50" s="13"/>
      <c r="G50" s="13"/>
      <c r="H50" s="13"/>
      <c r="I50" s="13"/>
      <c r="J50" s="13"/>
      <c r="K50" s="13">
        <f t="shared" si="2"/>
        <v>0</v>
      </c>
    </row>
    <row r="51" spans="1:11">
      <c r="A51" s="12" t="s">
        <v>249</v>
      </c>
      <c r="B51" s="72"/>
      <c r="C51" s="13"/>
      <c r="D51" s="13"/>
      <c r="E51" s="13"/>
      <c r="F51" s="13"/>
      <c r="G51" s="13"/>
      <c r="H51" s="13"/>
      <c r="I51" s="13"/>
      <c r="J51" s="13"/>
      <c r="K51" s="13">
        <f t="shared" si="2"/>
        <v>0</v>
      </c>
    </row>
    <row r="52" spans="1:11">
      <c r="A52" s="12" t="s">
        <v>250</v>
      </c>
      <c r="B52" s="72"/>
      <c r="C52" s="13"/>
      <c r="D52" s="13"/>
      <c r="E52" s="13"/>
      <c r="F52" s="13"/>
      <c r="G52" s="13"/>
      <c r="H52" s="13"/>
      <c r="I52" s="13"/>
      <c r="J52" s="13"/>
      <c r="K52" s="13">
        <f t="shared" si="2"/>
        <v>0</v>
      </c>
    </row>
    <row r="53" spans="1:11">
      <c r="A53" s="12" t="s">
        <v>251</v>
      </c>
      <c r="B53" s="72"/>
      <c r="C53" s="13"/>
      <c r="D53" s="13"/>
      <c r="E53" s="13"/>
      <c r="F53" s="13"/>
      <c r="G53" s="13"/>
      <c r="H53" s="13"/>
      <c r="I53" s="13"/>
      <c r="J53" s="13"/>
      <c r="K53" s="13">
        <f t="shared" si="2"/>
        <v>0</v>
      </c>
    </row>
    <row r="54" spans="1:11">
      <c r="A54" s="12" t="s">
        <v>252</v>
      </c>
      <c r="B54" s="72"/>
      <c r="C54" s="13"/>
      <c r="D54" s="13"/>
      <c r="E54" s="13"/>
      <c r="F54" s="13"/>
      <c r="G54" s="13"/>
      <c r="H54" s="13"/>
      <c r="I54" s="13"/>
      <c r="J54" s="13"/>
      <c r="K54" s="13">
        <f t="shared" si="2"/>
        <v>0</v>
      </c>
    </row>
    <row r="55" spans="1:11">
      <c r="A55" s="12" t="s">
        <v>253</v>
      </c>
      <c r="B55" s="72"/>
      <c r="C55" s="13"/>
      <c r="D55" s="13"/>
      <c r="E55" s="13"/>
      <c r="F55" s="13"/>
      <c r="G55" s="13"/>
      <c r="H55" s="13"/>
      <c r="I55" s="13"/>
      <c r="J55" s="13"/>
      <c r="K55" s="13">
        <f t="shared" si="2"/>
        <v>0</v>
      </c>
    </row>
    <row r="56" spans="1:11">
      <c r="A56" s="12" t="s">
        <v>254</v>
      </c>
      <c r="B56" s="72"/>
      <c r="C56" s="13"/>
      <c r="D56" s="13"/>
      <c r="E56" s="13"/>
      <c r="F56" s="13"/>
      <c r="G56" s="13"/>
      <c r="H56" s="13"/>
      <c r="I56" s="13"/>
      <c r="J56" s="13"/>
      <c r="K56" s="13">
        <f t="shared" si="2"/>
        <v>0</v>
      </c>
    </row>
    <row r="57" spans="1:11">
      <c r="A57" s="12" t="s">
        <v>133</v>
      </c>
      <c r="B57" s="72"/>
      <c r="C57" s="13"/>
      <c r="D57" s="13"/>
      <c r="E57" s="13"/>
      <c r="F57" s="13"/>
      <c r="G57" s="13"/>
      <c r="H57" s="13"/>
      <c r="I57" s="13"/>
      <c r="J57" s="13"/>
      <c r="K57" s="13">
        <f t="shared" si="2"/>
        <v>0</v>
      </c>
    </row>
    <row r="58" spans="1:11">
      <c r="A58" s="12" t="s">
        <v>145</v>
      </c>
      <c r="B58" s="72"/>
      <c r="C58" s="13"/>
      <c r="D58" s="13"/>
      <c r="E58" s="13"/>
      <c r="F58" s="13"/>
      <c r="G58" s="13"/>
      <c r="H58" s="13"/>
      <c r="I58" s="13"/>
      <c r="J58" s="13"/>
      <c r="K58" s="13">
        <f t="shared" si="2"/>
        <v>0</v>
      </c>
    </row>
    <row r="59" spans="1:11">
      <c r="A59" s="12" t="s">
        <v>255</v>
      </c>
      <c r="B59" s="72"/>
      <c r="C59" s="13"/>
      <c r="D59" s="13"/>
      <c r="E59" s="13"/>
      <c r="F59" s="13"/>
      <c r="G59" s="13"/>
      <c r="H59" s="13"/>
      <c r="I59" s="13"/>
      <c r="J59" s="13"/>
      <c r="K59" s="13">
        <f t="shared" si="2"/>
        <v>0</v>
      </c>
    </row>
    <row r="60" spans="1:11">
      <c r="A60" s="12" t="s">
        <v>256</v>
      </c>
      <c r="B60" s="72"/>
      <c r="C60" s="13"/>
      <c r="D60" s="13"/>
      <c r="E60" s="13"/>
      <c r="F60" s="13"/>
      <c r="G60" s="13"/>
      <c r="H60" s="13"/>
      <c r="I60" s="13"/>
      <c r="J60" s="13"/>
      <c r="K60" s="13">
        <f t="shared" si="2"/>
        <v>0</v>
      </c>
    </row>
    <row r="61" spans="1:11">
      <c r="A61" s="37" t="s">
        <v>257</v>
      </c>
      <c r="B61" s="72"/>
      <c r="C61" s="13">
        <f>SUM(C32:C60)</f>
        <v>0</v>
      </c>
      <c r="D61" s="13">
        <f t="shared" ref="D61:K61" si="3">SUM(D32:D60)</f>
        <v>0</v>
      </c>
      <c r="E61" s="13">
        <f t="shared" si="3"/>
        <v>0</v>
      </c>
      <c r="F61" s="13">
        <f t="shared" si="3"/>
        <v>0</v>
      </c>
      <c r="G61" s="13">
        <f t="shared" si="3"/>
        <v>0</v>
      </c>
      <c r="H61" s="13">
        <f t="shared" si="3"/>
        <v>0</v>
      </c>
      <c r="I61" s="13">
        <f t="shared" si="3"/>
        <v>0</v>
      </c>
      <c r="J61" s="13">
        <f t="shared" si="3"/>
        <v>0</v>
      </c>
      <c r="K61" s="13">
        <f t="shared" si="3"/>
        <v>0</v>
      </c>
    </row>
    <row r="62" spans="1:11">
      <c r="A62" s="12"/>
      <c r="B62" s="72"/>
      <c r="C62" s="13"/>
      <c r="D62" s="13"/>
      <c r="E62" s="13"/>
      <c r="F62" s="13"/>
      <c r="G62" s="13"/>
      <c r="H62" s="13"/>
      <c r="I62" s="13"/>
      <c r="J62" s="13"/>
      <c r="K62" s="13"/>
    </row>
    <row r="63" spans="1:11">
      <c r="A63" s="37" t="s">
        <v>258</v>
      </c>
      <c r="B63" s="72"/>
      <c r="C63" s="13">
        <f>C29-C61</f>
        <v>0</v>
      </c>
      <c r="D63" s="13">
        <f t="shared" ref="D63:K63" si="4">D29-D61</f>
        <v>0</v>
      </c>
      <c r="E63" s="13">
        <f t="shared" si="4"/>
        <v>0</v>
      </c>
      <c r="F63" s="13">
        <f t="shared" si="4"/>
        <v>0</v>
      </c>
      <c r="G63" s="13">
        <f t="shared" si="4"/>
        <v>0</v>
      </c>
      <c r="H63" s="13">
        <f t="shared" si="4"/>
        <v>0</v>
      </c>
      <c r="I63" s="13">
        <f t="shared" si="4"/>
        <v>0</v>
      </c>
      <c r="J63" s="13">
        <f t="shared" si="4"/>
        <v>0</v>
      </c>
      <c r="K63" s="13">
        <f t="shared" si="4"/>
        <v>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0EE2-69DC-4C4D-A768-55A8F8D81E43}">
  <dimension ref="A1:I41"/>
  <sheetViews>
    <sheetView workbookViewId="0">
      <selection activeCell="G13" sqref="G13"/>
    </sheetView>
  </sheetViews>
  <sheetFormatPr defaultRowHeight="14.4"/>
  <cols>
    <col min="1" max="1" width="38.21875" customWidth="1"/>
    <col min="3" max="4" width="17" customWidth="1"/>
  </cols>
  <sheetData>
    <row r="1" spans="1:9" ht="18">
      <c r="A1" s="200" t="s">
        <v>116</v>
      </c>
      <c r="B1" s="201"/>
      <c r="C1" s="201"/>
      <c r="D1" s="202"/>
      <c r="E1" s="109"/>
      <c r="F1" s="109"/>
      <c r="G1" s="109"/>
      <c r="H1" s="109"/>
      <c r="I1" s="109"/>
    </row>
    <row r="2" spans="1:9" ht="18">
      <c r="A2" s="203" t="s">
        <v>117</v>
      </c>
      <c r="B2" s="199"/>
      <c r="C2" s="199"/>
      <c r="D2" s="204"/>
      <c r="E2" s="109"/>
      <c r="F2" s="109"/>
      <c r="G2" s="109"/>
      <c r="H2" s="109"/>
      <c r="I2" s="109"/>
    </row>
    <row r="3" spans="1:9">
      <c r="A3" s="114"/>
      <c r="B3" s="67"/>
      <c r="C3" s="31"/>
      <c r="D3" s="123"/>
      <c r="E3" s="34"/>
      <c r="F3" s="34"/>
      <c r="G3" s="34"/>
      <c r="H3" s="34"/>
      <c r="I3" s="34"/>
    </row>
    <row r="4" spans="1:9">
      <c r="A4" s="124" t="s">
        <v>259</v>
      </c>
      <c r="B4" s="65"/>
      <c r="C4" s="31"/>
      <c r="D4" s="123"/>
      <c r="E4" s="34"/>
      <c r="F4" s="34"/>
      <c r="G4" s="34"/>
      <c r="H4" s="34"/>
      <c r="I4" s="34"/>
    </row>
    <row r="5" spans="1:9">
      <c r="A5" s="114"/>
      <c r="D5" s="115"/>
    </row>
    <row r="6" spans="1:9" ht="15" thickBot="1">
      <c r="A6" s="114"/>
      <c r="D6" s="115"/>
    </row>
    <row r="7" spans="1:9">
      <c r="A7" s="111" t="s">
        <v>62</v>
      </c>
      <c r="B7" s="121" t="s">
        <v>56</v>
      </c>
      <c r="C7" s="121">
        <v>2025</v>
      </c>
      <c r="D7" s="122">
        <v>2024</v>
      </c>
    </row>
    <row r="8" spans="1:9">
      <c r="A8" s="114" t="s">
        <v>260</v>
      </c>
      <c r="D8" s="115"/>
    </row>
    <row r="9" spans="1:9">
      <c r="A9" s="114" t="s">
        <v>261</v>
      </c>
      <c r="D9" s="115"/>
    </row>
    <row r="10" spans="1:9">
      <c r="A10" s="114" t="s">
        <v>262</v>
      </c>
      <c r="D10" s="115"/>
    </row>
    <row r="11" spans="1:9" ht="15" thickBot="1">
      <c r="A11" s="23"/>
      <c r="B11" s="24"/>
      <c r="C11" s="25">
        <f>SUM(C8:C10)</f>
        <v>0</v>
      </c>
      <c r="D11" s="116">
        <f>SUM(D8:D10)</f>
        <v>0</v>
      </c>
    </row>
    <row r="12" spans="1:9" ht="15" thickBot="1">
      <c r="A12" s="114"/>
      <c r="D12" s="115"/>
    </row>
    <row r="13" spans="1:9">
      <c r="A13" s="111" t="s">
        <v>263</v>
      </c>
      <c r="B13" s="112"/>
      <c r="C13" s="112"/>
      <c r="D13" s="113"/>
    </row>
    <row r="14" spans="1:9">
      <c r="A14" s="114" t="s">
        <v>264</v>
      </c>
      <c r="D14" s="115"/>
    </row>
    <row r="15" spans="1:9">
      <c r="A15" s="114" t="s">
        <v>265</v>
      </c>
      <c r="D15" s="115"/>
    </row>
    <row r="16" spans="1:9">
      <c r="A16" s="114" t="s">
        <v>266</v>
      </c>
      <c r="D16" s="115"/>
    </row>
    <row r="17" spans="1:4">
      <c r="A17" s="114" t="s">
        <v>267</v>
      </c>
      <c r="D17" s="115"/>
    </row>
    <row r="18" spans="1:4">
      <c r="A18" s="114" t="s">
        <v>268</v>
      </c>
      <c r="D18" s="115"/>
    </row>
    <row r="19" spans="1:4">
      <c r="A19" s="114" t="s">
        <v>269</v>
      </c>
      <c r="D19" s="115"/>
    </row>
    <row r="20" spans="1:4">
      <c r="A20" s="114" t="s">
        <v>270</v>
      </c>
      <c r="D20" s="115"/>
    </row>
    <row r="21" spans="1:4">
      <c r="A21" s="114" t="s">
        <v>271</v>
      </c>
      <c r="D21" s="115"/>
    </row>
    <row r="22" spans="1:4" ht="15" thickBot="1">
      <c r="A22" s="23"/>
      <c r="B22" s="24"/>
      <c r="C22" s="25">
        <f>SUM(C14:C21)</f>
        <v>0</v>
      </c>
      <c r="D22" s="116">
        <f>SUM(D14:D21)</f>
        <v>0</v>
      </c>
    </row>
    <row r="23" spans="1:4" ht="15" thickBot="1">
      <c r="A23" s="114"/>
      <c r="D23" s="115"/>
    </row>
    <row r="24" spans="1:4" ht="15" thickBot="1">
      <c r="A24" s="117" t="s">
        <v>272</v>
      </c>
      <c r="B24" s="118"/>
      <c r="C24" s="119">
        <f>C11+C22</f>
        <v>0</v>
      </c>
      <c r="D24" s="120">
        <f>D11+D22</f>
        <v>0</v>
      </c>
    </row>
    <row r="25" spans="1:4">
      <c r="A25" s="114"/>
      <c r="D25" s="115"/>
    </row>
    <row r="26" spans="1:4" ht="15" thickBot="1">
      <c r="A26" s="114"/>
      <c r="D26" s="115"/>
    </row>
    <row r="27" spans="1:4">
      <c r="A27" s="111" t="s">
        <v>273</v>
      </c>
      <c r="B27" s="112"/>
      <c r="C27" s="112"/>
      <c r="D27" s="113"/>
    </row>
    <row r="28" spans="1:4">
      <c r="A28" s="114" t="s">
        <v>274</v>
      </c>
      <c r="D28" s="115"/>
    </row>
    <row r="29" spans="1:4">
      <c r="A29" s="114" t="s">
        <v>53</v>
      </c>
      <c r="D29" s="115"/>
    </row>
    <row r="30" spans="1:4">
      <c r="A30" s="114" t="s">
        <v>275</v>
      </c>
      <c r="D30" s="115"/>
    </row>
    <row r="31" spans="1:4" ht="15" thickBot="1">
      <c r="A31" s="23"/>
      <c r="B31" s="24"/>
      <c r="C31" s="25">
        <f>SUM(C28:C30)</f>
        <v>0</v>
      </c>
      <c r="D31" s="116">
        <f>SUM(D28:D30)</f>
        <v>0</v>
      </c>
    </row>
    <row r="32" spans="1:4" ht="15" thickBot="1">
      <c r="A32" s="114"/>
      <c r="D32" s="115"/>
    </row>
    <row r="33" spans="1:4">
      <c r="A33" s="111" t="s">
        <v>276</v>
      </c>
      <c r="B33" s="112"/>
      <c r="C33" s="112"/>
      <c r="D33" s="113"/>
    </row>
    <row r="34" spans="1:4">
      <c r="A34" s="114" t="s">
        <v>277</v>
      </c>
      <c r="D34" s="115"/>
    </row>
    <row r="35" spans="1:4">
      <c r="A35" s="114" t="s">
        <v>278</v>
      </c>
      <c r="D35" s="115"/>
    </row>
    <row r="36" spans="1:4">
      <c r="A36" s="114" t="s">
        <v>279</v>
      </c>
      <c r="D36" s="115"/>
    </row>
    <row r="37" spans="1:4">
      <c r="A37" s="114" t="s">
        <v>280</v>
      </c>
      <c r="D37" s="115"/>
    </row>
    <row r="38" spans="1:4">
      <c r="A38" s="114" t="s">
        <v>281</v>
      </c>
      <c r="D38" s="115"/>
    </row>
    <row r="39" spans="1:4" ht="15" thickBot="1">
      <c r="A39" s="23"/>
      <c r="B39" s="24"/>
      <c r="C39" s="25">
        <f>SUM(C34:C38)</f>
        <v>0</v>
      </c>
      <c r="D39" s="116">
        <f>SUM(D34:D38)</f>
        <v>0</v>
      </c>
    </row>
    <row r="40" spans="1:4" ht="15" thickBot="1">
      <c r="A40" s="114"/>
      <c r="D40" s="115"/>
    </row>
    <row r="41" spans="1:4" ht="15" thickBot="1">
      <c r="A41" s="117" t="s">
        <v>282</v>
      </c>
      <c r="B41" s="118"/>
      <c r="C41" s="119">
        <f>C31+C39</f>
        <v>0</v>
      </c>
      <c r="D41" s="120">
        <f>D31+D39</f>
        <v>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A569-94AD-4B39-AEA1-F01926F4AA40}">
  <dimension ref="A1:E37"/>
  <sheetViews>
    <sheetView workbookViewId="0">
      <selection activeCell="E26" sqref="E26"/>
    </sheetView>
  </sheetViews>
  <sheetFormatPr defaultRowHeight="14.4"/>
  <cols>
    <col min="1" max="1" width="22.6640625" customWidth="1"/>
    <col min="3" max="4" width="18.77734375" style="34" customWidth="1"/>
    <col min="5" max="5" width="13.88671875" customWidth="1"/>
  </cols>
  <sheetData>
    <row r="1" spans="1:4">
      <c r="A1" t="s">
        <v>283</v>
      </c>
    </row>
    <row r="2" spans="1:4">
      <c r="A2" t="s">
        <v>117</v>
      </c>
    </row>
    <row r="4" spans="1:4">
      <c r="A4" t="s">
        <v>284</v>
      </c>
    </row>
    <row r="6" spans="1:4">
      <c r="A6" s="65" t="s">
        <v>35</v>
      </c>
      <c r="C6" s="125" t="s">
        <v>285</v>
      </c>
      <c r="D6" s="125" t="s">
        <v>286</v>
      </c>
    </row>
    <row r="7" spans="1:4">
      <c r="C7" s="125" t="s">
        <v>39</v>
      </c>
      <c r="D7" s="125" t="s">
        <v>39</v>
      </c>
    </row>
    <row r="8" spans="1:4">
      <c r="A8" t="s">
        <v>287</v>
      </c>
      <c r="D8" s="34">
        <v>3077.5</v>
      </c>
    </row>
    <row r="9" spans="1:4">
      <c r="A9" t="s">
        <v>143</v>
      </c>
      <c r="D9" s="34">
        <v>16614</v>
      </c>
    </row>
    <row r="10" spans="1:4">
      <c r="A10" t="s">
        <v>288</v>
      </c>
      <c r="D10" s="34">
        <v>50000</v>
      </c>
    </row>
    <row r="11" spans="1:4">
      <c r="A11" t="s">
        <v>289</v>
      </c>
      <c r="D11" s="34">
        <v>19450</v>
      </c>
    </row>
    <row r="12" spans="1:4">
      <c r="A12" t="s">
        <v>291</v>
      </c>
      <c r="D12" s="34">
        <v>34772</v>
      </c>
    </row>
    <row r="13" spans="1:4">
      <c r="A13" t="s">
        <v>290</v>
      </c>
      <c r="D13" s="34">
        <v>10400</v>
      </c>
    </row>
    <row r="15" spans="1:4">
      <c r="D15" s="69">
        <f>SUM(D8:D13)</f>
        <v>134313.5</v>
      </c>
    </row>
    <row r="16" spans="1:4">
      <c r="D16" s="69"/>
    </row>
    <row r="17" spans="1:5">
      <c r="D17" s="34">
        <v>50000</v>
      </c>
    </row>
    <row r="18" spans="1:5">
      <c r="A18" s="70" t="s">
        <v>48</v>
      </c>
    </row>
    <row r="19" spans="1:5">
      <c r="A19" t="s">
        <v>292</v>
      </c>
      <c r="C19" s="34">
        <v>25870</v>
      </c>
      <c r="D19" s="34">
        <v>34715</v>
      </c>
      <c r="E19" s="28"/>
    </row>
    <row r="20" spans="1:5">
      <c r="A20" t="s">
        <v>293</v>
      </c>
      <c r="C20" s="34">
        <v>1375</v>
      </c>
      <c r="D20" s="34">
        <v>3375</v>
      </c>
      <c r="E20" s="28"/>
    </row>
    <row r="21" spans="1:5">
      <c r="A21" t="s">
        <v>294</v>
      </c>
      <c r="C21" s="34">
        <v>11140</v>
      </c>
      <c r="D21" s="34">
        <v>15656</v>
      </c>
      <c r="E21" s="28"/>
    </row>
    <row r="22" spans="1:5">
      <c r="A22" t="s">
        <v>295</v>
      </c>
      <c r="C22" s="34">
        <v>4440</v>
      </c>
      <c r="D22" s="34">
        <v>2500</v>
      </c>
      <c r="E22" s="28"/>
    </row>
    <row r="23" spans="1:5">
      <c r="A23" t="s">
        <v>296</v>
      </c>
      <c r="C23" s="34">
        <v>10360</v>
      </c>
      <c r="D23" s="34">
        <v>22490</v>
      </c>
      <c r="E23" s="28"/>
    </row>
    <row r="24" spans="1:5">
      <c r="A24" t="s">
        <v>186</v>
      </c>
      <c r="C24" s="34">
        <v>6815</v>
      </c>
      <c r="D24" s="34">
        <v>8050</v>
      </c>
      <c r="E24" s="28"/>
    </row>
    <row r="25" spans="1:5">
      <c r="C25" s="69">
        <f>SUM(C19:C24)</f>
        <v>60000</v>
      </c>
      <c r="D25" s="69">
        <f>SUM(D19:D24)</f>
        <v>86786</v>
      </c>
    </row>
    <row r="26" spans="1:5">
      <c r="E26" s="28"/>
    </row>
    <row r="27" spans="1:5">
      <c r="A27" s="70" t="s">
        <v>297</v>
      </c>
      <c r="D27" s="69">
        <f>D15-D25</f>
        <v>47527.5</v>
      </c>
    </row>
    <row r="29" spans="1:5">
      <c r="A29" s="174" t="s">
        <v>303</v>
      </c>
      <c r="B29" s="174"/>
      <c r="C29" s="174"/>
    </row>
    <row r="30" spans="1:5">
      <c r="A30" s="65"/>
      <c r="B30" s="65"/>
      <c r="C30" s="65" t="s">
        <v>39</v>
      </c>
    </row>
    <row r="31" spans="1:5">
      <c r="A31" t="s">
        <v>288</v>
      </c>
      <c r="C31" s="34">
        <v>50000</v>
      </c>
    </row>
    <row r="32" spans="1:5">
      <c r="A32" t="s">
        <v>298</v>
      </c>
      <c r="C32" s="34">
        <f>D21</f>
        <v>15656</v>
      </c>
    </row>
    <row r="33" spans="1:3">
      <c r="A33" t="s">
        <v>299</v>
      </c>
      <c r="C33" s="34">
        <v>6000</v>
      </c>
    </row>
    <row r="34" spans="1:3">
      <c r="A34" t="s">
        <v>300</v>
      </c>
      <c r="C34" s="34">
        <v>1300</v>
      </c>
    </row>
    <row r="35" spans="1:3">
      <c r="A35" t="s">
        <v>301</v>
      </c>
      <c r="C35" s="34">
        <v>2500</v>
      </c>
    </row>
    <row r="36" spans="1:3">
      <c r="A36" t="s">
        <v>302</v>
      </c>
      <c r="C36" s="34">
        <f>5996+1500</f>
        <v>7496</v>
      </c>
    </row>
    <row r="37" spans="1:3">
      <c r="C37" s="69">
        <f>SUM(C31:C36)</f>
        <v>82952</v>
      </c>
    </row>
  </sheetData>
  <mergeCells count="1">
    <mergeCell ref="A29:C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910A-D35B-47F2-A5AB-F987D3C1DD4D}">
  <dimension ref="A1:E50"/>
  <sheetViews>
    <sheetView tabSelected="1" topLeftCell="A35" workbookViewId="0">
      <selection activeCell="D20" sqref="D20"/>
    </sheetView>
  </sheetViews>
  <sheetFormatPr defaultRowHeight="14.4"/>
  <cols>
    <col min="1" max="1" width="30.88671875" customWidth="1"/>
    <col min="3" max="4" width="18.77734375" style="34" customWidth="1"/>
    <col min="5" max="5" width="13.88671875" customWidth="1"/>
  </cols>
  <sheetData>
    <row r="1" spans="1:4">
      <c r="A1" s="206" t="s">
        <v>283</v>
      </c>
      <c r="B1" s="207"/>
      <c r="C1" s="207"/>
      <c r="D1" s="208"/>
    </row>
    <row r="2" spans="1:4">
      <c r="A2" s="205" t="s">
        <v>117</v>
      </c>
      <c r="B2" s="174"/>
      <c r="C2" s="174"/>
      <c r="D2" s="209"/>
    </row>
    <row r="3" spans="1:4">
      <c r="A3" s="114"/>
      <c r="C3" s="31"/>
      <c r="D3" s="123"/>
    </row>
    <row r="4" spans="1:4">
      <c r="A4" s="205" t="s">
        <v>284</v>
      </c>
      <c r="B4" s="174"/>
      <c r="C4" s="174"/>
      <c r="D4" s="209"/>
    </row>
    <row r="5" spans="1:4">
      <c r="A5" s="114"/>
      <c r="C5" s="31"/>
      <c r="D5" s="123"/>
    </row>
    <row r="6" spans="1:4">
      <c r="A6" s="6" t="s">
        <v>35</v>
      </c>
      <c r="B6" s="12"/>
      <c r="C6" s="8" t="s">
        <v>285</v>
      </c>
      <c r="D6" s="10" t="s">
        <v>286</v>
      </c>
    </row>
    <row r="7" spans="1:4">
      <c r="A7" s="20"/>
      <c r="B7" s="12"/>
      <c r="C7" s="8" t="s">
        <v>39</v>
      </c>
      <c r="D7" s="10" t="s">
        <v>39</v>
      </c>
    </row>
    <row r="8" spans="1:4">
      <c r="A8" s="20" t="s">
        <v>287</v>
      </c>
      <c r="B8" s="12"/>
      <c r="C8" s="13"/>
      <c r="D8" s="17">
        <v>3077.5</v>
      </c>
    </row>
    <row r="9" spans="1:4">
      <c r="A9" s="20" t="s">
        <v>143</v>
      </c>
      <c r="B9" s="12"/>
      <c r="C9" s="13"/>
      <c r="D9" s="17">
        <v>16614</v>
      </c>
    </row>
    <row r="10" spans="1:4">
      <c r="A10" s="20" t="s">
        <v>289</v>
      </c>
      <c r="B10" s="12"/>
      <c r="C10" s="13"/>
      <c r="D10" s="17">
        <f>CIRCUITS!C25</f>
        <v>21450</v>
      </c>
    </row>
    <row r="11" spans="1:4">
      <c r="A11" s="20" t="s">
        <v>291</v>
      </c>
      <c r="B11" s="12"/>
      <c r="C11" s="13"/>
      <c r="D11" s="17">
        <f>OFFERING!C12</f>
        <v>34772.699999999997</v>
      </c>
    </row>
    <row r="12" spans="1:4">
      <c r="A12" s="20" t="s">
        <v>290</v>
      </c>
      <c r="B12" s="12"/>
      <c r="C12" s="13"/>
      <c r="D12" s="17">
        <v>10400</v>
      </c>
    </row>
    <row r="13" spans="1:4">
      <c r="A13" s="20"/>
      <c r="B13" s="12"/>
      <c r="C13" s="13"/>
      <c r="D13" s="17"/>
    </row>
    <row r="14" spans="1:4">
      <c r="A14" s="20"/>
      <c r="B14" s="12"/>
      <c r="C14" s="13"/>
      <c r="D14" s="22">
        <f>SUM(D8:D12)</f>
        <v>86314.2</v>
      </c>
    </row>
    <row r="15" spans="1:4">
      <c r="A15" s="114"/>
      <c r="C15" s="31"/>
      <c r="D15" s="132"/>
    </row>
    <row r="16" spans="1:4">
      <c r="A16" s="114"/>
      <c r="C16" s="31"/>
      <c r="D16" s="132"/>
    </row>
    <row r="17" spans="1:5">
      <c r="A17" s="124" t="s">
        <v>304</v>
      </c>
      <c r="C17" s="31"/>
      <c r="D17" s="132">
        <v>50000</v>
      </c>
    </row>
    <row r="18" spans="1:5">
      <c r="A18" s="114"/>
      <c r="C18" s="31"/>
      <c r="D18" s="123"/>
    </row>
    <row r="19" spans="1:5">
      <c r="A19" s="133" t="s">
        <v>48</v>
      </c>
      <c r="B19" s="12"/>
      <c r="C19" s="13"/>
      <c r="D19" s="17"/>
    </row>
    <row r="20" spans="1:5">
      <c r="A20" s="20" t="s">
        <v>292</v>
      </c>
      <c r="B20" s="12"/>
      <c r="C20" s="13">
        <v>25870</v>
      </c>
      <c r="D20" s="17">
        <v>34715</v>
      </c>
      <c r="E20" s="28"/>
    </row>
    <row r="21" spans="1:5">
      <c r="A21" s="20" t="s">
        <v>293</v>
      </c>
      <c r="B21" s="12"/>
      <c r="C21" s="13">
        <v>1375</v>
      </c>
      <c r="D21" s="17">
        <v>3375</v>
      </c>
      <c r="E21" s="28"/>
    </row>
    <row r="22" spans="1:5">
      <c r="A22" s="20" t="s">
        <v>294</v>
      </c>
      <c r="B22" s="12"/>
      <c r="C22" s="13">
        <v>11140</v>
      </c>
      <c r="D22" s="17">
        <v>15656</v>
      </c>
      <c r="E22" s="28"/>
    </row>
    <row r="23" spans="1:5">
      <c r="A23" s="20" t="s">
        <v>295</v>
      </c>
      <c r="B23" s="12"/>
      <c r="C23" s="13">
        <v>4440</v>
      </c>
      <c r="D23" s="17">
        <v>2500</v>
      </c>
      <c r="E23" s="28"/>
    </row>
    <row r="24" spans="1:5">
      <c r="A24" s="20" t="s">
        <v>296</v>
      </c>
      <c r="B24" s="12"/>
      <c r="C24" s="13">
        <v>10360</v>
      </c>
      <c r="D24" s="17">
        <v>22490</v>
      </c>
      <c r="E24" s="28"/>
    </row>
    <row r="25" spans="1:5">
      <c r="A25" s="20" t="s">
        <v>186</v>
      </c>
      <c r="B25" s="12"/>
      <c r="C25" s="13">
        <v>6815</v>
      </c>
      <c r="D25" s="17">
        <v>8050</v>
      </c>
      <c r="E25" s="28"/>
    </row>
    <row r="26" spans="1:5">
      <c r="A26" s="20"/>
      <c r="B26" s="12"/>
      <c r="C26" s="21">
        <f>SUM(C20:C25)</f>
        <v>60000</v>
      </c>
      <c r="D26" s="22">
        <f>SUM(D20:D25)</f>
        <v>86786</v>
      </c>
    </row>
    <row r="27" spans="1:5" ht="15" thickBot="1">
      <c r="A27" s="114"/>
      <c r="C27" s="31"/>
      <c r="D27" s="123"/>
      <c r="E27" s="28"/>
    </row>
    <row r="28" spans="1:5" ht="15" thickBot="1">
      <c r="A28" s="117" t="s">
        <v>311</v>
      </c>
      <c r="B28" s="118"/>
      <c r="C28" s="129"/>
      <c r="D28" s="130">
        <f>D17-D26</f>
        <v>-36786</v>
      </c>
    </row>
    <row r="29" spans="1:5">
      <c r="A29" s="114"/>
      <c r="C29" s="31"/>
      <c r="D29" s="123"/>
    </row>
    <row r="30" spans="1:5">
      <c r="A30" s="205" t="s">
        <v>303</v>
      </c>
      <c r="B30" s="174"/>
      <c r="C30" s="174"/>
      <c r="D30" s="123"/>
    </row>
    <row r="31" spans="1:5">
      <c r="A31" s="131"/>
      <c r="B31" s="65"/>
      <c r="C31" s="65" t="s">
        <v>39</v>
      </c>
      <c r="D31" s="123"/>
    </row>
    <row r="32" spans="1:5">
      <c r="A32" s="20" t="s">
        <v>288</v>
      </c>
      <c r="B32" s="12"/>
      <c r="C32" s="13">
        <v>50000</v>
      </c>
      <c r="D32" s="123"/>
    </row>
    <row r="33" spans="1:5">
      <c r="A33" s="20" t="s">
        <v>298</v>
      </c>
      <c r="B33" s="12"/>
      <c r="C33" s="13">
        <f>D22</f>
        <v>15656</v>
      </c>
      <c r="D33" s="123"/>
    </row>
    <row r="34" spans="1:5" s="34" customFormat="1">
      <c r="A34" s="20" t="s">
        <v>299</v>
      </c>
      <c r="B34" s="12"/>
      <c r="C34" s="13">
        <v>6000</v>
      </c>
      <c r="D34" s="123"/>
      <c r="E34"/>
    </row>
    <row r="35" spans="1:5" s="34" customFormat="1">
      <c r="A35" s="20" t="s">
        <v>300</v>
      </c>
      <c r="B35" s="12"/>
      <c r="C35" s="13">
        <v>1300</v>
      </c>
      <c r="D35" s="123"/>
      <c r="E35"/>
    </row>
    <row r="36" spans="1:5" s="34" customFormat="1">
      <c r="A36" s="20" t="s">
        <v>301</v>
      </c>
      <c r="B36" s="12"/>
      <c r="C36" s="13">
        <v>2500</v>
      </c>
      <c r="D36" s="123"/>
      <c r="E36"/>
    </row>
    <row r="37" spans="1:5" s="34" customFormat="1">
      <c r="A37" s="20" t="s">
        <v>302</v>
      </c>
      <c r="B37" s="12"/>
      <c r="C37" s="13">
        <f>5996+1500+3834</f>
        <v>11330</v>
      </c>
      <c r="D37" s="123"/>
      <c r="E37"/>
    </row>
    <row r="38" spans="1:5" s="34" customFormat="1">
      <c r="A38" s="20"/>
      <c r="B38" s="12"/>
      <c r="C38" s="21">
        <f>SUM(C32:C37)</f>
        <v>86786</v>
      </c>
      <c r="D38" s="123"/>
      <c r="E38"/>
    </row>
    <row r="39" spans="1:5">
      <c r="A39" s="114"/>
      <c r="C39" s="31"/>
      <c r="D39" s="123"/>
    </row>
    <row r="40" spans="1:5" ht="15" thickBot="1">
      <c r="A40" s="114"/>
      <c r="C40" s="31"/>
      <c r="D40" s="123"/>
    </row>
    <row r="41" spans="1:5">
      <c r="A41" s="111" t="s">
        <v>305</v>
      </c>
      <c r="B41" s="127"/>
      <c r="C41" s="126"/>
      <c r="D41" s="123"/>
    </row>
    <row r="42" spans="1:5">
      <c r="A42" s="124"/>
      <c r="B42" s="70"/>
      <c r="C42" s="128" t="s">
        <v>39</v>
      </c>
      <c r="D42" s="123"/>
    </row>
    <row r="43" spans="1:5">
      <c r="A43" s="114" t="s">
        <v>306</v>
      </c>
      <c r="C43" s="123">
        <v>500</v>
      </c>
      <c r="D43" s="123"/>
    </row>
    <row r="44" spans="1:5">
      <c r="A44" s="114" t="s">
        <v>307</v>
      </c>
      <c r="C44" s="123">
        <v>6000</v>
      </c>
      <c r="D44" s="123"/>
    </row>
    <row r="45" spans="1:5">
      <c r="A45" s="114" t="s">
        <v>308</v>
      </c>
      <c r="C45" s="123">
        <v>200</v>
      </c>
      <c r="D45" s="123"/>
    </row>
    <row r="46" spans="1:5" ht="15" thickBot="1">
      <c r="A46" s="23"/>
      <c r="B46" s="24"/>
      <c r="C46" s="27">
        <f>SUM(C43:C45)</f>
        <v>6700</v>
      </c>
      <c r="D46" s="123"/>
    </row>
    <row r="47" spans="1:5" ht="15" thickBot="1">
      <c r="A47" s="114"/>
      <c r="C47" s="31"/>
      <c r="D47" s="123"/>
    </row>
    <row r="48" spans="1:5">
      <c r="A48" s="111" t="s">
        <v>309</v>
      </c>
      <c r="B48" s="112"/>
      <c r="C48" s="126"/>
      <c r="D48" s="123"/>
    </row>
    <row r="49" spans="1:4" ht="15" thickBot="1">
      <c r="A49" s="23" t="s">
        <v>310</v>
      </c>
      <c r="B49" s="24"/>
      <c r="C49" s="116">
        <v>8000</v>
      </c>
      <c r="D49" s="123"/>
    </row>
    <row r="50" spans="1:4" ht="15" thickBot="1">
      <c r="A50" s="23"/>
      <c r="B50" s="24"/>
      <c r="C50" s="25"/>
      <c r="D50" s="116"/>
    </row>
  </sheetData>
  <mergeCells count="4">
    <mergeCell ref="A30:C30"/>
    <mergeCell ref="A1:D1"/>
    <mergeCell ref="A2:D2"/>
    <mergeCell ref="A4:D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389A-A8B1-4CA5-A3E7-2C47994367B6}">
  <dimension ref="A1:M24"/>
  <sheetViews>
    <sheetView topLeftCell="A6" workbookViewId="0">
      <selection activeCell="C24" sqref="C24"/>
    </sheetView>
  </sheetViews>
  <sheetFormatPr defaultColWidth="8.88671875" defaultRowHeight="14.4"/>
  <cols>
    <col min="1" max="1" width="8.88671875" style="134"/>
    <col min="2" max="2" width="30.109375" style="134" customWidth="1"/>
    <col min="3" max="3" width="19.21875" style="134" customWidth="1"/>
    <col min="4" max="4" width="20.21875" style="134" customWidth="1"/>
    <col min="5" max="5" width="20.33203125" style="134" customWidth="1"/>
    <col min="6" max="6" width="17.6640625" style="134" customWidth="1"/>
    <col min="7" max="12" width="8.88671875" style="134"/>
    <col min="13" max="13" width="11.109375" style="134" customWidth="1"/>
    <col min="14" max="16384" width="8.88671875" style="134"/>
  </cols>
  <sheetData>
    <row r="1" spans="1:13" ht="15.6">
      <c r="C1" s="210" t="s">
        <v>283</v>
      </c>
      <c r="D1" s="210"/>
      <c r="E1" s="210"/>
      <c r="F1" s="136"/>
      <c r="G1" s="136"/>
      <c r="H1" s="136"/>
    </row>
    <row r="2" spans="1:13" ht="15.6">
      <c r="C2" s="210" t="s">
        <v>312</v>
      </c>
      <c r="D2" s="210"/>
      <c r="E2" s="210"/>
      <c r="F2" s="136"/>
      <c r="G2" s="136"/>
      <c r="H2" s="136"/>
    </row>
    <row r="3" spans="1:13" ht="15.6">
      <c r="C3" s="210" t="s">
        <v>117</v>
      </c>
      <c r="D3" s="210"/>
      <c r="E3" s="210"/>
      <c r="F3" s="136"/>
      <c r="G3" s="136"/>
      <c r="H3" s="136"/>
    </row>
    <row r="4" spans="1:13" ht="15.6">
      <c r="A4" s="211" t="s">
        <v>313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1:13" ht="15.6">
      <c r="A5" s="136" t="s">
        <v>314</v>
      </c>
      <c r="B5" s="136" t="s">
        <v>315</v>
      </c>
      <c r="C5" s="136" t="s">
        <v>57</v>
      </c>
      <c r="D5" s="135" t="s">
        <v>316</v>
      </c>
      <c r="E5" s="135" t="s">
        <v>317</v>
      </c>
      <c r="F5" s="136" t="s">
        <v>318</v>
      </c>
    </row>
    <row r="6" spans="1:13" ht="15.6">
      <c r="A6" s="137">
        <v>1</v>
      </c>
      <c r="B6" s="137" t="s">
        <v>319</v>
      </c>
      <c r="C6" s="153">
        <v>500</v>
      </c>
      <c r="D6" s="137" t="s">
        <v>320</v>
      </c>
      <c r="E6" s="137" t="s">
        <v>321</v>
      </c>
      <c r="F6" s="137" t="s">
        <v>322</v>
      </c>
    </row>
    <row r="7" spans="1:13" ht="15.6">
      <c r="A7" s="137">
        <v>2</v>
      </c>
      <c r="B7" s="137" t="s">
        <v>323</v>
      </c>
      <c r="C7" s="138">
        <v>1000</v>
      </c>
      <c r="D7" s="137" t="s">
        <v>320</v>
      </c>
      <c r="E7" s="137" t="s">
        <v>321</v>
      </c>
      <c r="F7" s="137" t="s">
        <v>322</v>
      </c>
    </row>
    <row r="8" spans="1:13" ht="15.6">
      <c r="A8" s="137">
        <v>3</v>
      </c>
      <c r="B8" s="137" t="s">
        <v>324</v>
      </c>
      <c r="C8" s="153">
        <v>500</v>
      </c>
      <c r="D8" s="137" t="s">
        <v>325</v>
      </c>
      <c r="E8" s="137" t="s">
        <v>321</v>
      </c>
      <c r="F8" s="137" t="s">
        <v>322</v>
      </c>
      <c r="I8" s="139"/>
    </row>
    <row r="9" spans="1:13" ht="15.6">
      <c r="A9" s="137">
        <v>4</v>
      </c>
      <c r="B9" s="137" t="s">
        <v>326</v>
      </c>
      <c r="C9" s="153">
        <v>200</v>
      </c>
      <c r="D9" s="137" t="s">
        <v>325</v>
      </c>
      <c r="E9" s="137" t="s">
        <v>321</v>
      </c>
      <c r="F9" s="137" t="s">
        <v>322</v>
      </c>
    </row>
    <row r="10" spans="1:13" ht="15.6">
      <c r="A10" s="137">
        <v>5</v>
      </c>
      <c r="B10" s="137" t="s">
        <v>327</v>
      </c>
      <c r="C10" s="153">
        <v>500</v>
      </c>
      <c r="D10" s="137" t="s">
        <v>328</v>
      </c>
      <c r="E10" s="137" t="s">
        <v>329</v>
      </c>
      <c r="F10" s="137" t="s">
        <v>322</v>
      </c>
    </row>
    <row r="11" spans="1:13" ht="15.6">
      <c r="A11" s="137">
        <v>6</v>
      </c>
      <c r="B11" s="137" t="s">
        <v>330</v>
      </c>
      <c r="C11" s="153">
        <v>2000</v>
      </c>
      <c r="D11" s="137" t="s">
        <v>320</v>
      </c>
      <c r="E11" s="137" t="s">
        <v>329</v>
      </c>
      <c r="F11" s="137" t="s">
        <v>331</v>
      </c>
    </row>
    <row r="12" spans="1:13" ht="15.6">
      <c r="A12" s="137">
        <v>7</v>
      </c>
      <c r="B12" s="137" t="s">
        <v>332</v>
      </c>
      <c r="C12" s="153">
        <v>500</v>
      </c>
      <c r="D12" s="137" t="s">
        <v>320</v>
      </c>
      <c r="E12" s="137" t="s">
        <v>321</v>
      </c>
      <c r="F12" s="137" t="s">
        <v>322</v>
      </c>
    </row>
    <row r="13" spans="1:13" ht="15.6">
      <c r="A13" s="137">
        <v>8</v>
      </c>
      <c r="B13" s="137" t="s">
        <v>333</v>
      </c>
      <c r="C13" s="153">
        <v>1000</v>
      </c>
      <c r="D13" s="137" t="s">
        <v>320</v>
      </c>
      <c r="E13" s="137" t="s">
        <v>321</v>
      </c>
      <c r="F13" s="137" t="s">
        <v>322</v>
      </c>
    </row>
    <row r="14" spans="1:13" ht="15.6">
      <c r="A14" s="137">
        <v>9</v>
      </c>
      <c r="B14" s="137" t="s">
        <v>334</v>
      </c>
      <c r="C14" s="153">
        <v>200</v>
      </c>
      <c r="D14" s="137" t="s">
        <v>320</v>
      </c>
      <c r="E14" s="137" t="s">
        <v>321</v>
      </c>
      <c r="F14" s="137" t="s">
        <v>322</v>
      </c>
    </row>
    <row r="15" spans="1:13" ht="15.6">
      <c r="A15" s="137">
        <v>10</v>
      </c>
      <c r="B15" s="137" t="s">
        <v>335</v>
      </c>
      <c r="C15" s="153">
        <v>2000</v>
      </c>
      <c r="D15" s="137" t="s">
        <v>320</v>
      </c>
      <c r="E15" s="137" t="s">
        <v>329</v>
      </c>
      <c r="F15" s="137" t="s">
        <v>331</v>
      </c>
    </row>
    <row r="16" spans="1:13" ht="15.6">
      <c r="A16" s="137">
        <v>11</v>
      </c>
      <c r="B16" s="137" t="s">
        <v>336</v>
      </c>
      <c r="C16" s="153">
        <v>1000</v>
      </c>
      <c r="D16" s="137" t="s">
        <v>320</v>
      </c>
      <c r="E16" s="137" t="s">
        <v>321</v>
      </c>
      <c r="F16" s="137" t="s">
        <v>337</v>
      </c>
    </row>
    <row r="17" spans="1:6" ht="15.6">
      <c r="A17" s="137">
        <v>12</v>
      </c>
      <c r="B17" s="137" t="s">
        <v>338</v>
      </c>
      <c r="C17" s="138">
        <v>1000</v>
      </c>
      <c r="D17" s="137"/>
      <c r="E17" s="137"/>
      <c r="F17" s="137"/>
    </row>
    <row r="18" spans="1:6" ht="15.6">
      <c r="A18" s="137">
        <v>13</v>
      </c>
      <c r="B18" s="137"/>
      <c r="C18" s="138"/>
      <c r="D18" s="137"/>
      <c r="E18" s="137"/>
      <c r="F18" s="137"/>
    </row>
    <row r="19" spans="1:6" ht="15.6">
      <c r="A19" s="137">
        <v>14</v>
      </c>
      <c r="B19" s="137"/>
      <c r="C19" s="138"/>
      <c r="D19" s="137"/>
      <c r="E19" s="137"/>
      <c r="F19" s="137"/>
    </row>
    <row r="20" spans="1:6" ht="15.6">
      <c r="A20" s="137">
        <v>15</v>
      </c>
      <c r="B20" s="137"/>
      <c r="C20" s="138"/>
      <c r="D20" s="137"/>
      <c r="E20" s="137"/>
    </row>
    <row r="21" spans="1:6" ht="15.6">
      <c r="A21" s="137">
        <v>16</v>
      </c>
      <c r="B21" s="137"/>
      <c r="C21" s="138"/>
      <c r="D21" s="137"/>
      <c r="E21" s="137"/>
    </row>
    <row r="22" spans="1:6" ht="15.6">
      <c r="A22" s="137"/>
      <c r="B22" s="140" t="s">
        <v>43</v>
      </c>
      <c r="C22" s="141">
        <f>SUM(C6:C21)</f>
        <v>10400</v>
      </c>
      <c r="D22" s="137"/>
      <c r="E22" s="137"/>
    </row>
    <row r="23" spans="1:6" ht="15.6">
      <c r="A23" s="137"/>
      <c r="B23" s="136"/>
      <c r="D23" s="137"/>
      <c r="E23" s="137"/>
    </row>
    <row r="24" spans="1:6" ht="15.6">
      <c r="D24" s="137"/>
      <c r="E24" s="137"/>
    </row>
  </sheetData>
  <mergeCells count="4">
    <mergeCell ref="C1:E1"/>
    <mergeCell ref="C2:E2"/>
    <mergeCell ref="C3:E3"/>
    <mergeCell ref="A4:M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98BE-A53A-4E86-9B12-6BFF7988115B}">
  <dimension ref="A1:D27"/>
  <sheetViews>
    <sheetView topLeftCell="A6" workbookViewId="0">
      <selection activeCell="D27" sqref="D27"/>
    </sheetView>
  </sheetViews>
  <sheetFormatPr defaultColWidth="8.88671875" defaultRowHeight="14.4"/>
  <cols>
    <col min="1" max="1" width="8.88671875" style="134"/>
    <col min="2" max="2" width="28.44140625" style="134" customWidth="1"/>
    <col min="3" max="3" width="15.6640625" style="134" customWidth="1"/>
    <col min="4" max="4" width="19.109375" style="134" customWidth="1"/>
    <col min="5" max="16384" width="8.88671875" style="134"/>
  </cols>
  <sheetData>
    <row r="1" spans="1:4">
      <c r="A1" s="212" t="s">
        <v>116</v>
      </c>
      <c r="B1" s="212"/>
      <c r="C1" s="212"/>
      <c r="D1" s="212"/>
    </row>
    <row r="2" spans="1:4">
      <c r="A2" s="212" t="s">
        <v>31</v>
      </c>
      <c r="B2" s="212"/>
      <c r="C2" s="212"/>
      <c r="D2" s="212"/>
    </row>
    <row r="3" spans="1:4">
      <c r="A3" s="212" t="s">
        <v>117</v>
      </c>
      <c r="B3" s="212"/>
      <c r="C3" s="212"/>
      <c r="D3" s="212"/>
    </row>
    <row r="4" spans="1:4">
      <c r="A4" s="212" t="s">
        <v>339</v>
      </c>
      <c r="B4" s="212"/>
      <c r="C4" s="212"/>
      <c r="D4" s="212"/>
    </row>
    <row r="5" spans="1:4">
      <c r="A5" s="134" t="s">
        <v>340</v>
      </c>
      <c r="B5" s="134" t="s">
        <v>341</v>
      </c>
      <c r="C5" s="134" t="s">
        <v>57</v>
      </c>
      <c r="D5" s="134" t="s">
        <v>317</v>
      </c>
    </row>
    <row r="6" spans="1:4">
      <c r="C6" s="134" t="s">
        <v>39</v>
      </c>
    </row>
    <row r="7" spans="1:4">
      <c r="A7" s="142">
        <v>1</v>
      </c>
      <c r="B7" s="134" t="s">
        <v>342</v>
      </c>
      <c r="C7" s="152">
        <v>500</v>
      </c>
    </row>
    <row r="8" spans="1:4">
      <c r="A8" s="142">
        <v>2</v>
      </c>
      <c r="B8" s="134" t="s">
        <v>343</v>
      </c>
      <c r="C8" s="143">
        <v>500</v>
      </c>
    </row>
    <row r="9" spans="1:4">
      <c r="A9" s="142">
        <v>3</v>
      </c>
      <c r="B9" s="134" t="s">
        <v>344</v>
      </c>
      <c r="C9" s="152">
        <v>1000</v>
      </c>
    </row>
    <row r="10" spans="1:4">
      <c r="A10" s="142">
        <v>4</v>
      </c>
      <c r="B10" s="134" t="s">
        <v>345</v>
      </c>
      <c r="C10" s="152">
        <v>150</v>
      </c>
    </row>
    <row r="11" spans="1:4">
      <c r="A11" s="142">
        <v>5</v>
      </c>
      <c r="B11" s="134" t="s">
        <v>346</v>
      </c>
      <c r="C11" s="152">
        <v>10000</v>
      </c>
    </row>
    <row r="12" spans="1:4">
      <c r="A12" s="142">
        <v>6</v>
      </c>
      <c r="B12" s="134" t="s">
        <v>347</v>
      </c>
      <c r="C12" s="152">
        <v>200</v>
      </c>
    </row>
    <row r="13" spans="1:4">
      <c r="A13" s="142">
        <v>7</v>
      </c>
      <c r="B13" s="134" t="s">
        <v>348</v>
      </c>
      <c r="C13" s="152">
        <v>500</v>
      </c>
    </row>
    <row r="14" spans="1:4">
      <c r="A14" s="142">
        <v>8</v>
      </c>
      <c r="B14" s="134" t="s">
        <v>349</v>
      </c>
      <c r="C14" s="152">
        <v>400</v>
      </c>
    </row>
    <row r="15" spans="1:4">
      <c r="A15" s="142">
        <v>9</v>
      </c>
      <c r="B15" s="134" t="s">
        <v>350</v>
      </c>
      <c r="C15" s="152">
        <v>1000</v>
      </c>
    </row>
    <row r="16" spans="1:4">
      <c r="A16" s="142">
        <v>10</v>
      </c>
      <c r="B16" s="134" t="s">
        <v>351</v>
      </c>
      <c r="C16" s="143">
        <v>500</v>
      </c>
    </row>
    <row r="17" spans="1:4">
      <c r="A17" s="142">
        <v>11</v>
      </c>
      <c r="B17" s="134" t="s">
        <v>352</v>
      </c>
      <c r="C17" s="143">
        <v>500</v>
      </c>
    </row>
    <row r="18" spans="1:4">
      <c r="A18" s="142">
        <v>12</v>
      </c>
      <c r="B18" s="134" t="s">
        <v>353</v>
      </c>
      <c r="C18" s="143">
        <v>500</v>
      </c>
    </row>
    <row r="19" spans="1:4">
      <c r="A19" s="142">
        <v>13</v>
      </c>
      <c r="B19" s="134" t="s">
        <v>354</v>
      </c>
      <c r="C19" s="143">
        <v>500</v>
      </c>
    </row>
    <row r="20" spans="1:4">
      <c r="A20" s="142">
        <v>14</v>
      </c>
      <c r="B20" s="154" t="s">
        <v>501</v>
      </c>
      <c r="C20" s="143">
        <v>2000</v>
      </c>
    </row>
    <row r="21" spans="1:4">
      <c r="A21" s="142">
        <v>15</v>
      </c>
      <c r="B21" s="154" t="s">
        <v>517</v>
      </c>
      <c r="C21" s="143">
        <v>2000</v>
      </c>
    </row>
    <row r="22" spans="1:4">
      <c r="A22" s="142">
        <v>16</v>
      </c>
      <c r="B22" s="154" t="s">
        <v>516</v>
      </c>
      <c r="C22" s="143">
        <v>200</v>
      </c>
    </row>
    <row r="23" spans="1:4">
      <c r="A23" s="142">
        <v>17</v>
      </c>
      <c r="B23" s="154" t="s">
        <v>518</v>
      </c>
      <c r="C23" s="143">
        <v>1000</v>
      </c>
    </row>
    <row r="24" spans="1:4">
      <c r="B24" s="154"/>
      <c r="C24" s="143"/>
    </row>
    <row r="25" spans="1:4" ht="15.6">
      <c r="B25" s="136" t="s">
        <v>43</v>
      </c>
      <c r="C25" s="144">
        <f>SUM(C7:C24)</f>
        <v>21450</v>
      </c>
    </row>
    <row r="26" spans="1:4">
      <c r="C26" s="143"/>
    </row>
    <row r="27" spans="1:4">
      <c r="B27" s="154"/>
      <c r="C27" s="147"/>
      <c r="D27" s="147"/>
    </row>
  </sheetData>
  <mergeCells count="4">
    <mergeCell ref="A1:D1"/>
    <mergeCell ref="A2:D2"/>
    <mergeCell ref="A3:D3"/>
    <mergeCell ref="A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8B93-3F11-4D07-A882-774A7CFF5544}">
  <dimension ref="A1:D12"/>
  <sheetViews>
    <sheetView workbookViewId="0">
      <selection activeCell="C10" sqref="C10"/>
    </sheetView>
  </sheetViews>
  <sheetFormatPr defaultColWidth="8.88671875" defaultRowHeight="14.4"/>
  <cols>
    <col min="1" max="1" width="8.88671875" style="134"/>
    <col min="2" max="2" width="23" style="134" customWidth="1"/>
    <col min="3" max="3" width="12.88671875" style="134" customWidth="1"/>
    <col min="4" max="4" width="13.44140625" style="134" customWidth="1"/>
    <col min="5" max="16384" width="8.88671875" style="134"/>
  </cols>
  <sheetData>
    <row r="1" spans="1:4">
      <c r="A1" s="212" t="s">
        <v>116</v>
      </c>
      <c r="B1" s="212"/>
      <c r="C1" s="212"/>
      <c r="D1" s="212"/>
    </row>
    <row r="2" spans="1:4">
      <c r="A2" s="212" t="s">
        <v>355</v>
      </c>
      <c r="B2" s="212"/>
      <c r="C2" s="212"/>
      <c r="D2" s="212"/>
    </row>
    <row r="3" spans="1:4">
      <c r="A3" s="212" t="s">
        <v>117</v>
      </c>
      <c r="B3" s="212"/>
      <c r="C3" s="212"/>
      <c r="D3" s="212"/>
    </row>
    <row r="4" spans="1:4">
      <c r="A4" s="212" t="s">
        <v>356</v>
      </c>
      <c r="B4" s="212"/>
      <c r="C4" s="212"/>
      <c r="D4" s="212"/>
    </row>
    <row r="5" spans="1:4">
      <c r="A5" s="134" t="s">
        <v>340</v>
      </c>
      <c r="B5" s="134" t="s">
        <v>4</v>
      </c>
      <c r="C5" s="134" t="s">
        <v>57</v>
      </c>
      <c r="D5" s="134" t="s">
        <v>318</v>
      </c>
    </row>
    <row r="6" spans="1:4">
      <c r="A6" s="134">
        <v>1</v>
      </c>
      <c r="B6" s="134" t="s">
        <v>357</v>
      </c>
      <c r="C6" s="143">
        <v>945</v>
      </c>
    </row>
    <row r="7" spans="1:4">
      <c r="A7" s="134">
        <v>2</v>
      </c>
      <c r="B7" s="134" t="s">
        <v>358</v>
      </c>
      <c r="C7" s="143">
        <v>1188</v>
      </c>
    </row>
    <row r="8" spans="1:4">
      <c r="A8" s="134">
        <v>3</v>
      </c>
      <c r="B8" s="134" t="s">
        <v>359</v>
      </c>
      <c r="C8" s="143">
        <v>8015.7</v>
      </c>
    </row>
    <row r="9" spans="1:4">
      <c r="A9" s="134">
        <v>4</v>
      </c>
      <c r="B9" s="134" t="s">
        <v>360</v>
      </c>
      <c r="C9" s="143">
        <v>16075</v>
      </c>
    </row>
    <row r="10" spans="1:4">
      <c r="A10" s="134">
        <v>5</v>
      </c>
      <c r="B10" s="134" t="s">
        <v>361</v>
      </c>
      <c r="C10" s="143">
        <v>8349</v>
      </c>
    </row>
    <row r="11" spans="1:4">
      <c r="B11" s="134" t="s">
        <v>362</v>
      </c>
      <c r="C11" s="143">
        <v>200</v>
      </c>
    </row>
    <row r="12" spans="1:4" ht="15.6">
      <c r="B12" s="145" t="s">
        <v>43</v>
      </c>
      <c r="C12" s="146">
        <f>SUM(C6:C11)</f>
        <v>34772.699999999997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15E6-5791-4CF1-83B0-904BF2175088}">
  <dimension ref="A1:D57"/>
  <sheetViews>
    <sheetView workbookViewId="0">
      <selection activeCell="A4" sqref="A4:C4"/>
    </sheetView>
  </sheetViews>
  <sheetFormatPr defaultColWidth="8.88671875" defaultRowHeight="15.6"/>
  <cols>
    <col min="1" max="1" width="8.88671875" style="214"/>
    <col min="2" max="2" width="32.6640625" style="215" customWidth="1"/>
    <col min="3" max="3" width="14.5546875" style="215" customWidth="1"/>
    <col min="4" max="16384" width="8.88671875" style="215"/>
  </cols>
  <sheetData>
    <row r="1" spans="1:4">
      <c r="A1" s="229" t="s">
        <v>283</v>
      </c>
      <c r="B1" s="229"/>
      <c r="C1" s="229"/>
      <c r="D1" s="229"/>
    </row>
    <row r="2" spans="1:4">
      <c r="A2" s="229" t="s">
        <v>312</v>
      </c>
      <c r="B2" s="229"/>
      <c r="C2" s="229"/>
      <c r="D2" s="229"/>
    </row>
    <row r="3" spans="1:4">
      <c r="A3" s="229" t="s">
        <v>117</v>
      </c>
      <c r="B3" s="229"/>
      <c r="C3" s="229"/>
      <c r="D3" s="229"/>
    </row>
    <row r="4" spans="1:4">
      <c r="A4" s="230" t="s">
        <v>363</v>
      </c>
      <c r="B4" s="230"/>
      <c r="C4" s="230"/>
    </row>
    <row r="7" spans="1:4" s="213" customFormat="1">
      <c r="A7" s="217" t="s">
        <v>292</v>
      </c>
      <c r="B7" s="217"/>
    </row>
    <row r="8" spans="1:4" s="213" customFormat="1">
      <c r="A8" s="218" t="s">
        <v>340</v>
      </c>
      <c r="B8" s="218" t="s">
        <v>196</v>
      </c>
      <c r="C8" s="219" t="s">
        <v>57</v>
      </c>
    </row>
    <row r="9" spans="1:4">
      <c r="A9" s="220">
        <v>1</v>
      </c>
      <c r="B9" s="221" t="s">
        <v>367</v>
      </c>
      <c r="C9" s="222">
        <v>450</v>
      </c>
    </row>
    <row r="10" spans="1:4">
      <c r="A10" s="220">
        <v>2</v>
      </c>
      <c r="B10" s="221" t="s">
        <v>373</v>
      </c>
      <c r="C10" s="222">
        <v>9000</v>
      </c>
    </row>
    <row r="11" spans="1:4">
      <c r="A11" s="220">
        <v>3</v>
      </c>
      <c r="B11" s="221" t="s">
        <v>100</v>
      </c>
      <c r="C11" s="222">
        <v>7820</v>
      </c>
    </row>
    <row r="12" spans="1:4">
      <c r="A12" s="220">
        <v>4</v>
      </c>
      <c r="B12" s="221" t="s">
        <v>375</v>
      </c>
      <c r="C12" s="222">
        <v>6921</v>
      </c>
    </row>
    <row r="13" spans="1:4">
      <c r="A13" s="220">
        <v>5</v>
      </c>
      <c r="B13" s="221" t="s">
        <v>99</v>
      </c>
      <c r="C13" s="222">
        <v>2024</v>
      </c>
    </row>
    <row r="14" spans="1:4">
      <c r="A14" s="220">
        <v>6</v>
      </c>
      <c r="B14" s="221" t="s">
        <v>378</v>
      </c>
      <c r="C14" s="222">
        <v>7000</v>
      </c>
    </row>
    <row r="15" spans="1:4">
      <c r="A15" s="220">
        <v>7</v>
      </c>
      <c r="B15" s="221" t="s">
        <v>379</v>
      </c>
      <c r="C15" s="222">
        <v>1500</v>
      </c>
    </row>
    <row r="16" spans="1:4">
      <c r="A16" s="220"/>
      <c r="B16" s="221"/>
      <c r="C16" s="224">
        <f>SUM(C9:C15)</f>
        <v>34715</v>
      </c>
    </row>
    <row r="17" spans="1:3">
      <c r="C17" s="216"/>
    </row>
    <row r="18" spans="1:3">
      <c r="C18" s="216"/>
    </row>
    <row r="19" spans="1:3">
      <c r="A19" s="223" t="s">
        <v>294</v>
      </c>
      <c r="B19" s="223"/>
      <c r="C19" s="222"/>
    </row>
    <row r="20" spans="1:3">
      <c r="A20" s="220">
        <v>1</v>
      </c>
      <c r="B20" s="221" t="s">
        <v>368</v>
      </c>
      <c r="C20" s="222">
        <v>11991</v>
      </c>
    </row>
    <row r="21" spans="1:3">
      <c r="A21" s="220">
        <v>2</v>
      </c>
      <c r="B21" s="221" t="s">
        <v>370</v>
      </c>
      <c r="C21" s="222">
        <v>640</v>
      </c>
    </row>
    <row r="22" spans="1:3">
      <c r="A22" s="220">
        <v>3</v>
      </c>
      <c r="B22" s="221" t="s">
        <v>371</v>
      </c>
      <c r="C22" s="222">
        <v>315</v>
      </c>
    </row>
    <row r="23" spans="1:3">
      <c r="A23" s="220">
        <v>4</v>
      </c>
      <c r="B23" s="221" t="s">
        <v>372</v>
      </c>
      <c r="C23" s="222">
        <v>2710</v>
      </c>
    </row>
    <row r="24" spans="1:3">
      <c r="A24" s="220"/>
      <c r="B24" s="221"/>
      <c r="C24" s="224">
        <f>SUM(C20:C23)</f>
        <v>15656</v>
      </c>
    </row>
    <row r="25" spans="1:3">
      <c r="C25" s="216"/>
    </row>
    <row r="26" spans="1:3">
      <c r="A26" s="223" t="s">
        <v>513</v>
      </c>
      <c r="B26" s="223"/>
      <c r="C26" s="222"/>
    </row>
    <row r="27" spans="1:3">
      <c r="A27" s="220">
        <v>1</v>
      </c>
      <c r="B27" s="221" t="s">
        <v>384</v>
      </c>
      <c r="C27" s="222">
        <v>200</v>
      </c>
    </row>
    <row r="28" spans="1:3">
      <c r="A28" s="220">
        <v>2</v>
      </c>
      <c r="B28" s="221" t="s">
        <v>512</v>
      </c>
      <c r="C28" s="222">
        <f>4800-1800</f>
        <v>3000</v>
      </c>
    </row>
    <row r="29" spans="1:3">
      <c r="A29" s="220">
        <v>3</v>
      </c>
      <c r="B29" s="221" t="s">
        <v>508</v>
      </c>
      <c r="C29" s="222">
        <v>400</v>
      </c>
    </row>
    <row r="30" spans="1:3">
      <c r="A30" s="220">
        <v>4</v>
      </c>
      <c r="B30" s="221" t="s">
        <v>509</v>
      </c>
      <c r="C30" s="222">
        <v>300</v>
      </c>
    </row>
    <row r="31" spans="1:3">
      <c r="A31" s="220">
        <v>5</v>
      </c>
      <c r="B31" s="221" t="s">
        <v>364</v>
      </c>
      <c r="C31" s="222">
        <v>50</v>
      </c>
    </row>
    <row r="32" spans="1:3">
      <c r="A32" s="220">
        <v>6</v>
      </c>
      <c r="B32" s="221" t="s">
        <v>510</v>
      </c>
      <c r="C32" s="222">
        <v>2500</v>
      </c>
    </row>
    <row r="33" spans="1:3">
      <c r="A33" s="220">
        <v>7</v>
      </c>
      <c r="B33" s="221" t="s">
        <v>511</v>
      </c>
      <c r="C33" s="222">
        <v>300</v>
      </c>
    </row>
    <row r="34" spans="1:3">
      <c r="A34" s="220">
        <v>8</v>
      </c>
      <c r="B34" s="221" t="s">
        <v>365</v>
      </c>
      <c r="C34" s="222">
        <v>1300</v>
      </c>
    </row>
    <row r="35" spans="1:3">
      <c r="A35" s="220"/>
      <c r="B35" s="221"/>
      <c r="C35" s="224">
        <f>SUM(C27:C34)</f>
        <v>8050</v>
      </c>
    </row>
    <row r="36" spans="1:3">
      <c r="C36" s="216"/>
    </row>
    <row r="37" spans="1:3">
      <c r="A37" s="217" t="s">
        <v>295</v>
      </c>
      <c r="B37" s="217"/>
      <c r="C37" s="216"/>
    </row>
    <row r="38" spans="1:3">
      <c r="A38" s="220">
        <v>1</v>
      </c>
      <c r="B38" s="221" t="s">
        <v>385</v>
      </c>
      <c r="C38" s="222">
        <v>700</v>
      </c>
    </row>
    <row r="39" spans="1:3">
      <c r="A39" s="220">
        <v>2</v>
      </c>
      <c r="B39" s="221" t="s">
        <v>514</v>
      </c>
      <c r="C39" s="222">
        <v>1800</v>
      </c>
    </row>
    <row r="40" spans="1:3">
      <c r="A40" s="220"/>
      <c r="B40" s="221"/>
      <c r="C40" s="224">
        <f>SUM(C38:C39)</f>
        <v>2500</v>
      </c>
    </row>
    <row r="41" spans="1:3">
      <c r="A41" s="225"/>
      <c r="B41" s="226"/>
      <c r="C41" s="227"/>
    </row>
    <row r="42" spans="1:3">
      <c r="A42" s="217" t="s">
        <v>515</v>
      </c>
      <c r="B42" s="217"/>
      <c r="C42" s="216"/>
    </row>
    <row r="43" spans="1:3">
      <c r="A43" s="220">
        <v>1</v>
      </c>
      <c r="B43" s="221" t="s">
        <v>366</v>
      </c>
      <c r="C43" s="222">
        <v>400</v>
      </c>
    </row>
    <row r="44" spans="1:3">
      <c r="A44" s="220">
        <v>2</v>
      </c>
      <c r="B44" s="221" t="s">
        <v>369</v>
      </c>
      <c r="C44" s="222">
        <v>6000</v>
      </c>
    </row>
    <row r="45" spans="1:3">
      <c r="A45" s="220">
        <v>3</v>
      </c>
      <c r="B45" s="221" t="s">
        <v>369</v>
      </c>
      <c r="C45" s="222">
        <v>11000</v>
      </c>
    </row>
    <row r="46" spans="1:3">
      <c r="A46" s="220">
        <v>4</v>
      </c>
      <c r="B46" s="221" t="s">
        <v>376</v>
      </c>
      <c r="C46" s="222">
        <v>1430</v>
      </c>
    </row>
    <row r="47" spans="1:3">
      <c r="A47" s="220">
        <v>5</v>
      </c>
      <c r="B47" s="221" t="s">
        <v>377</v>
      </c>
      <c r="C47" s="222">
        <v>1110</v>
      </c>
    </row>
    <row r="48" spans="1:3">
      <c r="A48" s="220">
        <v>6</v>
      </c>
      <c r="B48" s="221" t="s">
        <v>380</v>
      </c>
      <c r="C48" s="222">
        <v>700</v>
      </c>
    </row>
    <row r="49" spans="1:3">
      <c r="A49" s="220">
        <v>7</v>
      </c>
      <c r="B49" s="221" t="s">
        <v>381</v>
      </c>
      <c r="C49" s="222">
        <v>500</v>
      </c>
    </row>
    <row r="50" spans="1:3">
      <c r="A50" s="220">
        <v>8</v>
      </c>
      <c r="B50" s="221" t="s">
        <v>382</v>
      </c>
      <c r="C50" s="222">
        <v>1000</v>
      </c>
    </row>
    <row r="51" spans="1:3">
      <c r="A51" s="220">
        <v>9</v>
      </c>
      <c r="B51" s="221" t="s">
        <v>383</v>
      </c>
      <c r="C51" s="222">
        <v>350</v>
      </c>
    </row>
    <row r="52" spans="1:3">
      <c r="A52" s="220"/>
      <c r="B52" s="221"/>
      <c r="C52" s="224">
        <f>SUM(C43:C51)</f>
        <v>22490</v>
      </c>
    </row>
    <row r="53" spans="1:3">
      <c r="A53" s="225"/>
      <c r="B53" s="226"/>
      <c r="C53" s="227"/>
    </row>
    <row r="54" spans="1:3">
      <c r="A54" s="217" t="s">
        <v>293</v>
      </c>
      <c r="B54" s="217"/>
      <c r="C54" s="216"/>
    </row>
    <row r="55" spans="1:3">
      <c r="A55" s="220">
        <v>4</v>
      </c>
      <c r="B55" s="221" t="s">
        <v>374</v>
      </c>
      <c r="C55" s="224">
        <v>3375</v>
      </c>
    </row>
    <row r="57" spans="1:3">
      <c r="A57" s="217" t="s">
        <v>519</v>
      </c>
      <c r="B57" s="217"/>
      <c r="C57" s="228">
        <f>C55+C52+C40+C35+C24+C16</f>
        <v>86786</v>
      </c>
    </row>
  </sheetData>
  <mergeCells count="7">
    <mergeCell ref="A57:B57"/>
    <mergeCell ref="A19:B19"/>
    <mergeCell ref="A26:B26"/>
    <mergeCell ref="A37:B37"/>
    <mergeCell ref="A42:B42"/>
    <mergeCell ref="A54:B54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CASH BOOK 1</vt:lpstr>
      <vt:lpstr>Inc &amp; Exp</vt:lpstr>
      <vt:lpstr>TB</vt:lpstr>
      <vt:lpstr>Inuaguration</vt:lpstr>
      <vt:lpstr>Petty cash voucher</vt:lpstr>
      <vt:lpstr>PETTY CASH BOOK</vt:lpstr>
      <vt:lpstr>FIXED ASSET REGISTER</vt:lpstr>
      <vt:lpstr>INVENTORY LIST</vt:lpstr>
      <vt:lpstr>INCOME STATEMENT</vt:lpstr>
      <vt:lpstr>SOFP</vt:lpstr>
      <vt:lpstr>Final</vt:lpstr>
      <vt:lpstr>Final (2)</vt:lpstr>
      <vt:lpstr>Individual</vt:lpstr>
      <vt:lpstr>CIRCUITS</vt:lpstr>
      <vt:lpstr>OFFERING</vt:lpstr>
      <vt:lpstr>EXPENSES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2026-02-03T21:49:23Z</dcterms:modified>
</cp:coreProperties>
</file>